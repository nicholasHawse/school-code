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\Documents\MAE 311\"/>
    </mc:Choice>
  </mc:AlternateContent>
  <xr:revisionPtr revIDLastSave="0" documentId="8_{FC4A426D-CD64-4AA1-9BDA-AC559F788F6E}" xr6:coauthVersionLast="47" xr6:coauthVersionMax="47" xr10:uidLastSave="{00000000-0000-0000-0000-000000000000}"/>
  <bookViews>
    <workbookView xWindow="-103" yWindow="-103" windowWidth="22149" windowHeight="12549" xr2:uid="{A18DD924-BED1-4806-A9CE-830A8E25E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4" i="1" l="1"/>
  <c r="DR3" i="1" a="1"/>
  <c r="DR3" i="1" s="1"/>
  <c r="DR4" i="1" a="1"/>
  <c r="DR4" i="1"/>
  <c r="DR5" i="1" a="1"/>
  <c r="DR5" i="1" s="1"/>
  <c r="DR6" i="1" a="1"/>
  <c r="DR6" i="1" s="1"/>
  <c r="DR7" i="1" a="1"/>
  <c r="DR7" i="1"/>
  <c r="DR8" i="1" a="1"/>
  <c r="DR8" i="1"/>
  <c r="DR9" i="1" a="1"/>
  <c r="DR9" i="1"/>
  <c r="DR10" i="1" a="1"/>
  <c r="DR10" i="1"/>
  <c r="DR11" i="1" a="1"/>
  <c r="DR11" i="1" s="1"/>
  <c r="DR12" i="1" a="1"/>
  <c r="DR12" i="1"/>
  <c r="DR13" i="1" a="1"/>
  <c r="DR13" i="1" s="1"/>
  <c r="DR14" i="1" a="1"/>
  <c r="DR14" i="1" s="1"/>
  <c r="DR15" i="1" a="1"/>
  <c r="DR15" i="1"/>
  <c r="DR16" i="1" a="1"/>
  <c r="DR16" i="1"/>
  <c r="DR17" i="1" a="1"/>
  <c r="DR17" i="1" s="1"/>
  <c r="DR18" i="1" a="1"/>
  <c r="DR18" i="1"/>
  <c r="DR19" i="1" a="1"/>
  <c r="DR19" i="1" s="1"/>
  <c r="DR20" i="1" a="1"/>
  <c r="DR20" i="1"/>
  <c r="DR21" i="1" a="1"/>
  <c r="DR21" i="1" s="1"/>
  <c r="DR22" i="1" a="1"/>
  <c r="DR22" i="1" s="1"/>
  <c r="DR23" i="1" a="1"/>
  <c r="DR23" i="1" s="1"/>
  <c r="DR24" i="1" a="1"/>
  <c r="DR24" i="1" s="1"/>
  <c r="DR25" i="1" a="1"/>
  <c r="DR25" i="1" s="1"/>
  <c r="DR26" i="1" a="1"/>
  <c r="DR26" i="1"/>
  <c r="DR27" i="1" a="1"/>
  <c r="DR27" i="1" s="1"/>
  <c r="DR28" i="1" a="1"/>
  <c r="DR28" i="1"/>
  <c r="DR29" i="1" a="1"/>
  <c r="DR29" i="1" s="1"/>
  <c r="DR30" i="1" a="1"/>
  <c r="DR30" i="1" s="1"/>
  <c r="DR31" i="1" a="1"/>
  <c r="DR31" i="1" s="1"/>
  <c r="DR32" i="1" a="1"/>
  <c r="DR32" i="1" s="1"/>
  <c r="DR33" i="1" a="1"/>
  <c r="DR33" i="1" s="1"/>
  <c r="DR34" i="1" a="1"/>
  <c r="DR34" i="1"/>
  <c r="DR35" i="1" a="1"/>
  <c r="DR35" i="1" s="1"/>
  <c r="DR36" i="1" a="1"/>
  <c r="DR36" i="1"/>
  <c r="DR37" i="1" a="1"/>
  <c r="DR37" i="1" s="1"/>
  <c r="DR38" i="1" a="1"/>
  <c r="DR38" i="1" s="1"/>
  <c r="DR39" i="1" a="1"/>
  <c r="DR39" i="1" s="1"/>
  <c r="DR40" i="1" a="1"/>
  <c r="DR40" i="1" s="1"/>
  <c r="DR41" i="1" a="1"/>
  <c r="DR41" i="1" s="1"/>
  <c r="DR42" i="1" a="1"/>
  <c r="DR42" i="1"/>
  <c r="DR43" i="1" a="1"/>
  <c r="DR43" i="1" s="1"/>
  <c r="DR44" i="1" a="1"/>
  <c r="DR44" i="1"/>
  <c r="DR45" i="1" a="1"/>
  <c r="DR45" i="1" s="1"/>
  <c r="DR46" i="1" a="1"/>
  <c r="DR46" i="1" s="1"/>
  <c r="DR47" i="1" a="1"/>
  <c r="DR47" i="1" s="1"/>
  <c r="DR48" i="1" a="1"/>
  <c r="DR48" i="1" s="1"/>
  <c r="DR49" i="1" a="1"/>
  <c r="DR49" i="1" s="1"/>
  <c r="DR50" i="1" a="1"/>
  <c r="DR50" i="1"/>
  <c r="DR51" i="1" a="1"/>
  <c r="DR51" i="1" s="1"/>
  <c r="DR52" i="1" a="1"/>
  <c r="DR52" i="1"/>
  <c r="DR53" i="1" a="1"/>
  <c r="DR53" i="1" s="1"/>
  <c r="DR54" i="1" a="1"/>
  <c r="DR54" i="1" s="1"/>
  <c r="DR55" i="1" a="1"/>
  <c r="DR55" i="1" s="1"/>
  <c r="DR56" i="1" a="1"/>
  <c r="DR56" i="1" s="1"/>
  <c r="DR57" i="1" a="1"/>
  <c r="DR57" i="1" s="1"/>
  <c r="DR58" i="1" a="1"/>
  <c r="DR58" i="1"/>
  <c r="DR59" i="1" a="1"/>
  <c r="DR59" i="1" s="1"/>
  <c r="DR60" i="1" a="1"/>
  <c r="DR60" i="1"/>
  <c r="DR61" i="1" a="1"/>
  <c r="DR61" i="1" s="1"/>
  <c r="DR62" i="1" a="1"/>
  <c r="DR62" i="1" s="1"/>
  <c r="DR63" i="1" a="1"/>
  <c r="DR63" i="1" s="1"/>
  <c r="DR64" i="1" a="1"/>
  <c r="DR64" i="1" s="1"/>
  <c r="DR65" i="1" a="1"/>
  <c r="DR65" i="1" s="1"/>
  <c r="DR66" i="1" a="1"/>
  <c r="DR66" i="1"/>
  <c r="DR67" i="1" a="1"/>
  <c r="DR67" i="1" s="1"/>
  <c r="DR68" i="1" a="1"/>
  <c r="DR68" i="1" s="1"/>
  <c r="DR69" i="1" a="1"/>
  <c r="DR69" i="1" s="1"/>
  <c r="DR70" i="1" a="1"/>
  <c r="DR70" i="1" s="1"/>
  <c r="DR71" i="1" a="1"/>
  <c r="DR71" i="1" s="1"/>
  <c r="DR72" i="1" a="1"/>
  <c r="DR72" i="1" s="1"/>
  <c r="DR73" i="1" a="1"/>
  <c r="DR73" i="1" s="1"/>
  <c r="DR74" i="1" a="1"/>
  <c r="DR74" i="1"/>
  <c r="DR75" i="1" a="1"/>
  <c r="DR75" i="1" s="1"/>
  <c r="DR76" i="1" a="1"/>
  <c r="DR76" i="1" s="1"/>
  <c r="DR77" i="1" a="1"/>
  <c r="DR77" i="1" s="1"/>
  <c r="DR78" i="1" a="1"/>
  <c r="DR78" i="1" s="1"/>
  <c r="DR79" i="1" a="1"/>
  <c r="DR79" i="1" s="1"/>
  <c r="DR80" i="1" a="1"/>
  <c r="DR80" i="1" s="1"/>
  <c r="DR81" i="1" a="1"/>
  <c r="DR81" i="1" s="1"/>
  <c r="DR82" i="1" a="1"/>
  <c r="DR82" i="1"/>
  <c r="DR83" i="1" a="1"/>
  <c r="DR83" i="1" s="1"/>
  <c r="DR84" i="1" a="1"/>
  <c r="DR84" i="1" s="1"/>
  <c r="DR85" i="1" a="1"/>
  <c r="DR85" i="1" s="1"/>
  <c r="DR86" i="1" a="1"/>
  <c r="DR86" i="1" s="1"/>
  <c r="DR87" i="1" a="1"/>
  <c r="DR87" i="1" s="1"/>
  <c r="DR88" i="1" a="1"/>
  <c r="DR88" i="1" s="1"/>
  <c r="DR89" i="1" a="1"/>
  <c r="DR89" i="1" s="1"/>
  <c r="DR90" i="1" a="1"/>
  <c r="DR90" i="1"/>
  <c r="DR91" i="1" a="1"/>
  <c r="DR91" i="1" s="1"/>
  <c r="DR92" i="1" a="1"/>
  <c r="DR92" i="1" s="1"/>
  <c r="DR93" i="1" a="1"/>
  <c r="DR93" i="1" s="1"/>
  <c r="DR94" i="1" a="1"/>
  <c r="DR94" i="1" s="1"/>
  <c r="DR95" i="1" a="1"/>
  <c r="DR95" i="1" s="1"/>
  <c r="DR96" i="1" a="1"/>
  <c r="DR96" i="1" s="1"/>
  <c r="DR97" i="1" a="1"/>
  <c r="DR97" i="1" s="1"/>
  <c r="DR98" i="1" a="1"/>
  <c r="DR98" i="1"/>
  <c r="DR99" i="1" a="1"/>
  <c r="DR99" i="1" s="1"/>
  <c r="DR100" i="1" a="1"/>
  <c r="DR100" i="1" s="1"/>
  <c r="DR101" i="1" a="1"/>
  <c r="DR101" i="1" s="1"/>
  <c r="DR102" i="1" a="1"/>
  <c r="DR102" i="1" s="1"/>
  <c r="DR103" i="1" a="1"/>
  <c r="DR103" i="1" s="1"/>
  <c r="DR104" i="1" a="1"/>
  <c r="DR104" i="1" s="1"/>
  <c r="DR105" i="1" a="1"/>
  <c r="DR105" i="1" s="1"/>
  <c r="DR106" i="1" a="1"/>
  <c r="DR106" i="1"/>
  <c r="DR107" i="1" a="1"/>
  <c r="DR107" i="1" s="1"/>
  <c r="DR108" i="1" a="1"/>
  <c r="DR108" i="1" s="1"/>
  <c r="DR109" i="1" a="1"/>
  <c r="DR109" i="1" s="1"/>
  <c r="DR110" i="1" a="1"/>
  <c r="DR110" i="1" s="1"/>
  <c r="DR111" i="1" a="1"/>
  <c r="DR111" i="1" s="1"/>
  <c r="DR112" i="1" a="1"/>
  <c r="DR112" i="1" s="1"/>
  <c r="DR113" i="1" a="1"/>
  <c r="DR113" i="1" s="1"/>
  <c r="DR114" i="1" a="1"/>
  <c r="DR114" i="1"/>
  <c r="DR115" i="1" a="1"/>
  <c r="DR115" i="1" s="1"/>
  <c r="DR116" i="1" a="1"/>
  <c r="DR116" i="1" s="1"/>
  <c r="DR117" i="1" a="1"/>
  <c r="DR117" i="1" s="1"/>
  <c r="DR118" i="1" a="1"/>
  <c r="DR118" i="1" s="1"/>
  <c r="DR119" i="1" a="1"/>
  <c r="DR119" i="1" s="1"/>
  <c r="DR120" i="1" a="1"/>
  <c r="DR120" i="1" s="1"/>
  <c r="DR121" i="1" a="1"/>
  <c r="DR121" i="1" s="1"/>
  <c r="DR122" i="1" a="1"/>
  <c r="DR122" i="1"/>
  <c r="DR123" i="1" a="1"/>
  <c r="DR123" i="1" s="1"/>
  <c r="DR124" i="1" a="1"/>
  <c r="DR124" i="1" s="1"/>
  <c r="DR125" i="1" a="1"/>
  <c r="DR125" i="1" s="1"/>
  <c r="DR126" i="1" a="1"/>
  <c r="DR126" i="1" s="1"/>
  <c r="DR127" i="1" a="1"/>
  <c r="DR127" i="1" s="1"/>
  <c r="DR128" i="1" a="1"/>
  <c r="DR128" i="1" s="1"/>
  <c r="DR129" i="1" a="1"/>
  <c r="DR129" i="1" s="1"/>
  <c r="DR130" i="1" a="1"/>
  <c r="DR130" i="1"/>
  <c r="DR131" i="1" a="1"/>
  <c r="DR131" i="1" s="1"/>
  <c r="DR132" i="1" a="1"/>
  <c r="DR132" i="1" s="1"/>
  <c r="DR133" i="1" a="1"/>
  <c r="DR133" i="1" s="1"/>
  <c r="DR134" i="1" a="1"/>
  <c r="DR134" i="1" s="1"/>
  <c r="DR135" i="1" a="1"/>
  <c r="DR135" i="1" s="1"/>
  <c r="DR136" i="1" a="1"/>
  <c r="DR136" i="1" s="1"/>
  <c r="DR137" i="1" a="1"/>
  <c r="DR137" i="1" s="1"/>
  <c r="DR138" i="1" a="1"/>
  <c r="DR138" i="1"/>
  <c r="DR139" i="1" a="1"/>
  <c r="DR139" i="1" s="1"/>
  <c r="DR140" i="1" a="1"/>
  <c r="DR140" i="1" s="1"/>
  <c r="DR141" i="1" a="1"/>
  <c r="DR141" i="1" s="1"/>
  <c r="DR142" i="1" a="1"/>
  <c r="DR142" i="1" s="1"/>
  <c r="DR143" i="1" a="1"/>
  <c r="DR143" i="1" s="1"/>
  <c r="DR144" i="1" a="1"/>
  <c r="DR144" i="1" s="1"/>
  <c r="DR145" i="1" a="1"/>
  <c r="DR145" i="1" s="1"/>
  <c r="DR146" i="1" a="1"/>
  <c r="DR146" i="1"/>
  <c r="DR147" i="1" a="1"/>
  <c r="DR147" i="1" s="1"/>
  <c r="DR148" i="1" a="1"/>
  <c r="DR148" i="1" s="1"/>
  <c r="DR149" i="1" a="1"/>
  <c r="DR149" i="1" s="1"/>
  <c r="DR150" i="1" a="1"/>
  <c r="DR150" i="1" s="1"/>
  <c r="DR151" i="1" a="1"/>
  <c r="DR151" i="1" s="1"/>
  <c r="DR152" i="1" a="1"/>
  <c r="DR152" i="1" s="1"/>
  <c r="DR153" i="1" a="1"/>
  <c r="DR153" i="1" s="1"/>
  <c r="DR154" i="1" a="1"/>
  <c r="DR154" i="1"/>
  <c r="DR155" i="1" a="1"/>
  <c r="DR155" i="1" s="1"/>
  <c r="DR156" i="1" a="1"/>
  <c r="DR156" i="1" s="1"/>
  <c r="DR157" i="1" a="1"/>
  <c r="DR157" i="1" s="1"/>
  <c r="DR158" i="1" a="1"/>
  <c r="DR158" i="1" s="1"/>
  <c r="DR159" i="1" a="1"/>
  <c r="DR159" i="1" s="1"/>
  <c r="DR160" i="1" a="1"/>
  <c r="DR160" i="1" s="1"/>
  <c r="DR161" i="1" a="1"/>
  <c r="DR161" i="1" s="1"/>
  <c r="DR162" i="1" a="1"/>
  <c r="DR162" i="1"/>
  <c r="DR163" i="1" a="1"/>
  <c r="DR163" i="1" s="1"/>
  <c r="DR164" i="1" a="1"/>
  <c r="DR164" i="1" s="1"/>
  <c r="DR165" i="1" a="1"/>
  <c r="DR165" i="1" s="1"/>
  <c r="DR166" i="1" a="1"/>
  <c r="DR166" i="1" s="1"/>
  <c r="DR167" i="1" a="1"/>
  <c r="DR167" i="1" s="1"/>
  <c r="DR168" i="1" a="1"/>
  <c r="DR168" i="1" s="1"/>
  <c r="DR169" i="1" a="1"/>
  <c r="DR169" i="1" s="1"/>
  <c r="DR170" i="1" a="1"/>
  <c r="DR170" i="1"/>
  <c r="DR171" i="1" a="1"/>
  <c r="DR171" i="1" s="1"/>
  <c r="DR172" i="1" a="1"/>
  <c r="DR172" i="1" s="1"/>
  <c r="DR173" i="1" a="1"/>
  <c r="DR173" i="1" s="1"/>
  <c r="DR174" i="1" a="1"/>
  <c r="DR174" i="1" s="1"/>
  <c r="DR175" i="1" a="1"/>
  <c r="DR175" i="1" s="1"/>
  <c r="DR176" i="1" a="1"/>
  <c r="DR176" i="1" s="1"/>
  <c r="DR177" i="1" a="1"/>
  <c r="DR177" i="1" s="1"/>
  <c r="DR178" i="1" a="1"/>
  <c r="DR178" i="1"/>
  <c r="DR179" i="1" a="1"/>
  <c r="DR179" i="1" s="1"/>
  <c r="DR180" i="1" a="1"/>
  <c r="DR180" i="1" s="1"/>
  <c r="DR181" i="1" a="1"/>
  <c r="DR181" i="1" s="1"/>
  <c r="DR182" i="1" a="1"/>
  <c r="DR182" i="1" s="1"/>
  <c r="DR183" i="1" a="1"/>
  <c r="DR183" i="1" s="1"/>
  <c r="DR184" i="1" a="1"/>
  <c r="DR184" i="1" s="1"/>
  <c r="DR185" i="1" a="1"/>
  <c r="DR185" i="1" s="1"/>
  <c r="DR186" i="1" a="1"/>
  <c r="DR186" i="1"/>
  <c r="DR187" i="1" a="1"/>
  <c r="DR187" i="1" s="1"/>
  <c r="DR188" i="1" a="1"/>
  <c r="DR188" i="1" s="1"/>
  <c r="DR189" i="1" a="1"/>
  <c r="DR189" i="1" s="1"/>
  <c r="DR190" i="1" a="1"/>
  <c r="DR190" i="1" s="1"/>
  <c r="DR191" i="1" a="1"/>
  <c r="DR191" i="1" s="1"/>
  <c r="DR192" i="1" a="1"/>
  <c r="DR192" i="1" s="1"/>
  <c r="DR193" i="1" a="1"/>
  <c r="DR193" i="1" s="1"/>
  <c r="DR194" i="1" a="1"/>
  <c r="DR194" i="1"/>
  <c r="DR195" i="1" a="1"/>
  <c r="DR195" i="1" s="1"/>
  <c r="DR196" i="1" a="1"/>
  <c r="DR196" i="1" s="1"/>
  <c r="DR197" i="1" a="1"/>
  <c r="DR197" i="1" s="1"/>
  <c r="DR198" i="1" a="1"/>
  <c r="DR198" i="1" s="1"/>
  <c r="DR199" i="1" a="1"/>
  <c r="DR199" i="1" s="1"/>
  <c r="DR200" i="1" a="1"/>
  <c r="DR200" i="1" s="1"/>
  <c r="DR201" i="1" a="1"/>
  <c r="DR201" i="1" s="1"/>
  <c r="DR202" i="1" a="1"/>
  <c r="DR202" i="1"/>
  <c r="DR203" i="1" a="1"/>
  <c r="DR203" i="1" s="1"/>
  <c r="DR204" i="1" a="1"/>
  <c r="DR204" i="1" s="1"/>
  <c r="DR205" i="1" a="1"/>
  <c r="DR205" i="1" s="1"/>
  <c r="DR206" i="1" a="1"/>
  <c r="DR206" i="1" s="1"/>
  <c r="DR207" i="1" a="1"/>
  <c r="DR207" i="1" s="1"/>
  <c r="DR208" i="1" a="1"/>
  <c r="DR208" i="1" s="1"/>
  <c r="DR209" i="1" a="1"/>
  <c r="DR209" i="1" s="1"/>
  <c r="DR210" i="1" a="1"/>
  <c r="DR210" i="1"/>
  <c r="DR211" i="1" a="1"/>
  <c r="DR211" i="1" s="1"/>
  <c r="DR212" i="1" a="1"/>
  <c r="DR212" i="1" s="1"/>
  <c r="DR213" i="1" a="1"/>
  <c r="DR213" i="1" s="1"/>
  <c r="DR214" i="1" a="1"/>
  <c r="DR214" i="1" s="1"/>
  <c r="DR215" i="1" a="1"/>
  <c r="DR215" i="1" s="1"/>
  <c r="DR216" i="1" a="1"/>
  <c r="DR216" i="1" s="1"/>
  <c r="DR217" i="1" a="1"/>
  <c r="DR217" i="1" s="1"/>
  <c r="DR218" i="1" a="1"/>
  <c r="DR218" i="1"/>
  <c r="DR219" i="1" a="1"/>
  <c r="DR219" i="1" s="1"/>
  <c r="DR220" i="1" a="1"/>
  <c r="DR220" i="1" s="1"/>
  <c r="DR221" i="1" a="1"/>
  <c r="DR221" i="1" s="1"/>
  <c r="DR222" i="1" a="1"/>
  <c r="DR222" i="1" s="1"/>
  <c r="DR223" i="1" a="1"/>
  <c r="DR223" i="1" s="1"/>
  <c r="DR224" i="1" a="1"/>
  <c r="DR224" i="1" s="1"/>
  <c r="DR225" i="1" a="1"/>
  <c r="DR225" i="1" s="1"/>
  <c r="DR226" i="1" a="1"/>
  <c r="DR226" i="1"/>
  <c r="DR227" i="1" a="1"/>
  <c r="DR227" i="1" s="1"/>
  <c r="DR228" i="1" a="1"/>
  <c r="DR228" i="1" s="1"/>
  <c r="DR229" i="1" a="1"/>
  <c r="DR229" i="1" s="1"/>
  <c r="DR230" i="1" a="1"/>
  <c r="DR230" i="1" s="1"/>
  <c r="DR231" i="1" a="1"/>
  <c r="DR231" i="1" s="1"/>
  <c r="DR232" i="1" a="1"/>
  <c r="DR232" i="1" s="1"/>
  <c r="DR233" i="1" a="1"/>
  <c r="DR233" i="1" s="1"/>
  <c r="DR234" i="1" a="1"/>
  <c r="DR234" i="1"/>
  <c r="DR235" i="1" a="1"/>
  <c r="DR235" i="1" s="1"/>
  <c r="DR236" i="1" a="1"/>
  <c r="DR236" i="1" s="1"/>
  <c r="DR237" i="1" a="1"/>
  <c r="DR237" i="1" s="1"/>
  <c r="DR238" i="1" a="1"/>
  <c r="DR238" i="1" s="1"/>
  <c r="DR239" i="1" a="1"/>
  <c r="DR239" i="1" s="1"/>
  <c r="DR240" i="1" a="1"/>
  <c r="DR240" i="1" s="1"/>
  <c r="DR241" i="1" a="1"/>
  <c r="DR241" i="1" s="1"/>
  <c r="DR242" i="1" a="1"/>
  <c r="DR242" i="1"/>
  <c r="DR243" i="1" a="1"/>
  <c r="DR243" i="1" s="1"/>
  <c r="DR244" i="1" a="1"/>
  <c r="DR244" i="1" s="1"/>
  <c r="DR245" i="1" a="1"/>
  <c r="DR245" i="1" s="1"/>
  <c r="DR246" i="1" a="1"/>
  <c r="DR246" i="1" s="1"/>
  <c r="DR247" i="1" a="1"/>
  <c r="DR247" i="1" s="1"/>
  <c r="DR248" i="1" a="1"/>
  <c r="DR248" i="1" s="1"/>
  <c r="DR249" i="1" a="1"/>
  <c r="DR249" i="1" s="1"/>
  <c r="DR250" i="1" a="1"/>
  <c r="DR250" i="1"/>
  <c r="DR251" i="1" a="1"/>
  <c r="DR251" i="1" s="1"/>
  <c r="DR252" i="1" a="1"/>
  <c r="DR252" i="1" s="1"/>
  <c r="DR253" i="1" a="1"/>
  <c r="DR253" i="1" s="1"/>
  <c r="DR254" i="1" a="1"/>
  <c r="DR254" i="1" s="1"/>
  <c r="DR255" i="1" a="1"/>
  <c r="DR255" i="1" s="1"/>
  <c r="DR256" i="1" a="1"/>
  <c r="DR256" i="1" s="1"/>
  <c r="DR257" i="1" a="1"/>
  <c r="DR257" i="1" s="1"/>
  <c r="DR258" i="1" a="1"/>
  <c r="DR258" i="1"/>
  <c r="DR259" i="1" a="1"/>
  <c r="DR259" i="1" s="1"/>
  <c r="DR260" i="1" a="1"/>
  <c r="DR260" i="1" s="1"/>
  <c r="DR261" i="1" a="1"/>
  <c r="DR261" i="1" s="1"/>
  <c r="DQ3" i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2" i="1"/>
  <c r="DQ103" i="1"/>
  <c r="DQ104" i="1"/>
  <c r="DQ105" i="1"/>
  <c r="DQ106" i="1"/>
  <c r="DQ107" i="1"/>
  <c r="DQ108" i="1"/>
  <c r="DQ109" i="1"/>
  <c r="DQ110" i="1"/>
  <c r="DQ111" i="1"/>
  <c r="DQ112" i="1"/>
  <c r="DQ113" i="1"/>
  <c r="DQ114" i="1"/>
  <c r="DQ115" i="1"/>
  <c r="DQ116" i="1"/>
  <c r="DQ117" i="1"/>
  <c r="DQ118" i="1"/>
  <c r="DQ119" i="1"/>
  <c r="DQ120" i="1"/>
  <c r="DQ121" i="1"/>
  <c r="DQ122" i="1"/>
  <c r="DQ123" i="1"/>
  <c r="DQ124" i="1"/>
  <c r="DQ125" i="1"/>
  <c r="DQ126" i="1"/>
  <c r="DQ127" i="1"/>
  <c r="DQ128" i="1"/>
  <c r="DQ129" i="1"/>
  <c r="DQ130" i="1"/>
  <c r="DQ131" i="1"/>
  <c r="DQ132" i="1"/>
  <c r="DQ133" i="1"/>
  <c r="DQ134" i="1"/>
  <c r="DQ135" i="1"/>
  <c r="DQ136" i="1"/>
  <c r="DQ137" i="1"/>
  <c r="DQ138" i="1"/>
  <c r="DQ139" i="1"/>
  <c r="DQ140" i="1"/>
  <c r="DQ141" i="1"/>
  <c r="DQ142" i="1"/>
  <c r="DQ143" i="1"/>
  <c r="DQ144" i="1"/>
  <c r="DQ145" i="1"/>
  <c r="DQ146" i="1"/>
  <c r="DQ147" i="1"/>
  <c r="DQ148" i="1"/>
  <c r="DQ149" i="1"/>
  <c r="DQ150" i="1"/>
  <c r="DQ151" i="1"/>
  <c r="DQ152" i="1"/>
  <c r="DQ153" i="1"/>
  <c r="DQ154" i="1"/>
  <c r="DQ155" i="1"/>
  <c r="DQ156" i="1"/>
  <c r="DQ157" i="1"/>
  <c r="DQ158" i="1"/>
  <c r="DQ159" i="1"/>
  <c r="DQ160" i="1"/>
  <c r="DQ161" i="1"/>
  <c r="DQ162" i="1"/>
  <c r="DQ163" i="1"/>
  <c r="DQ164" i="1"/>
  <c r="DQ165" i="1"/>
  <c r="DQ166" i="1"/>
  <c r="DQ167" i="1"/>
  <c r="DQ168" i="1"/>
  <c r="DQ169" i="1"/>
  <c r="DQ170" i="1"/>
  <c r="DQ171" i="1"/>
  <c r="DQ172" i="1"/>
  <c r="DQ173" i="1"/>
  <c r="DQ174" i="1"/>
  <c r="DQ175" i="1"/>
  <c r="DQ176" i="1"/>
  <c r="DQ177" i="1"/>
  <c r="DQ178" i="1"/>
  <c r="DQ179" i="1"/>
  <c r="DQ180" i="1"/>
  <c r="DQ181" i="1"/>
  <c r="DQ182" i="1"/>
  <c r="DQ183" i="1"/>
  <c r="DQ184" i="1"/>
  <c r="DQ185" i="1"/>
  <c r="DQ186" i="1"/>
  <c r="DQ187" i="1"/>
  <c r="DQ188" i="1"/>
  <c r="DQ189" i="1"/>
  <c r="DQ190" i="1"/>
  <c r="DQ191" i="1"/>
  <c r="DQ192" i="1"/>
  <c r="DQ193" i="1"/>
  <c r="DQ194" i="1"/>
  <c r="DQ195" i="1"/>
  <c r="DQ196" i="1"/>
  <c r="DQ197" i="1"/>
  <c r="DQ198" i="1"/>
  <c r="DQ199" i="1"/>
  <c r="DQ200" i="1"/>
  <c r="DQ201" i="1"/>
  <c r="DQ202" i="1"/>
  <c r="DQ203" i="1"/>
  <c r="DQ204" i="1"/>
  <c r="DQ205" i="1"/>
  <c r="DQ206" i="1"/>
  <c r="DQ207" i="1"/>
  <c r="DQ208" i="1"/>
  <c r="DQ209" i="1"/>
  <c r="DQ210" i="1"/>
  <c r="DQ211" i="1"/>
  <c r="DQ212" i="1"/>
  <c r="DQ213" i="1"/>
  <c r="DQ214" i="1"/>
  <c r="DQ215" i="1"/>
  <c r="DQ216" i="1"/>
  <c r="DQ217" i="1"/>
  <c r="DQ218" i="1"/>
  <c r="DQ219" i="1"/>
  <c r="DQ220" i="1"/>
  <c r="DQ221" i="1"/>
  <c r="DQ222" i="1"/>
  <c r="DQ223" i="1"/>
  <c r="DQ224" i="1"/>
  <c r="DQ225" i="1"/>
  <c r="DQ226" i="1"/>
  <c r="DQ227" i="1"/>
  <c r="DQ228" i="1"/>
  <c r="DQ229" i="1"/>
  <c r="DQ230" i="1"/>
  <c r="DQ231" i="1"/>
  <c r="DQ232" i="1"/>
  <c r="DQ233" i="1"/>
  <c r="DQ234" i="1"/>
  <c r="DQ235" i="1"/>
  <c r="DQ236" i="1"/>
  <c r="DQ237" i="1"/>
  <c r="DQ238" i="1"/>
  <c r="DQ239" i="1"/>
  <c r="DQ240" i="1"/>
  <c r="DQ241" i="1"/>
  <c r="DQ242" i="1"/>
  <c r="DQ243" i="1"/>
  <c r="DQ244" i="1"/>
  <c r="DQ245" i="1"/>
  <c r="DQ246" i="1"/>
  <c r="DQ247" i="1"/>
  <c r="DQ248" i="1"/>
  <c r="DQ249" i="1"/>
  <c r="DQ250" i="1"/>
  <c r="DQ251" i="1"/>
  <c r="DQ252" i="1"/>
  <c r="DQ253" i="1"/>
  <c r="DQ254" i="1"/>
  <c r="DQ255" i="1"/>
  <c r="DQ256" i="1"/>
  <c r="DQ257" i="1"/>
  <c r="DQ258" i="1"/>
  <c r="DQ259" i="1"/>
  <c r="DQ260" i="1"/>
  <c r="DQ261" i="1"/>
  <c r="DP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02" i="1"/>
  <c r="DP103" i="1"/>
  <c r="DP104" i="1"/>
  <c r="DP105" i="1"/>
  <c r="DP106" i="1"/>
  <c r="DP107" i="1"/>
  <c r="DP108" i="1"/>
  <c r="DP109" i="1"/>
  <c r="DP110" i="1"/>
  <c r="DP111" i="1"/>
  <c r="DP112" i="1"/>
  <c r="DP113" i="1"/>
  <c r="DP114" i="1"/>
  <c r="DP115" i="1"/>
  <c r="DP116" i="1"/>
  <c r="DP117" i="1"/>
  <c r="DP118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132" i="1"/>
  <c r="DP133" i="1"/>
  <c r="DP134" i="1"/>
  <c r="DP135" i="1"/>
  <c r="DP136" i="1"/>
  <c r="DP137" i="1"/>
  <c r="DP138" i="1"/>
  <c r="DP139" i="1"/>
  <c r="DP140" i="1"/>
  <c r="DP141" i="1"/>
  <c r="DP142" i="1"/>
  <c r="DP143" i="1"/>
  <c r="DP144" i="1"/>
  <c r="DP145" i="1"/>
  <c r="DP146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208" i="1"/>
  <c r="DP209" i="1"/>
  <c r="DP210" i="1"/>
  <c r="DP211" i="1"/>
  <c r="DP212" i="1"/>
  <c r="DP213" i="1"/>
  <c r="DP214" i="1"/>
  <c r="DP215" i="1"/>
  <c r="DP216" i="1"/>
  <c r="DP217" i="1"/>
  <c r="DP218" i="1"/>
  <c r="DP219" i="1"/>
  <c r="DP220" i="1"/>
  <c r="DP221" i="1"/>
  <c r="DP222" i="1"/>
  <c r="DP223" i="1"/>
  <c r="DP224" i="1"/>
  <c r="DP225" i="1"/>
  <c r="DP226" i="1"/>
  <c r="DP227" i="1"/>
  <c r="DP228" i="1"/>
  <c r="DP229" i="1"/>
  <c r="DP230" i="1"/>
  <c r="DP231" i="1"/>
  <c r="DP232" i="1"/>
  <c r="DP233" i="1"/>
  <c r="DP234" i="1"/>
  <c r="DP235" i="1"/>
  <c r="DP236" i="1"/>
  <c r="DP237" i="1"/>
  <c r="DP238" i="1"/>
  <c r="DP239" i="1"/>
  <c r="DP240" i="1"/>
  <c r="DP241" i="1"/>
  <c r="DP242" i="1"/>
  <c r="DP243" i="1"/>
  <c r="DP244" i="1"/>
  <c r="DP245" i="1"/>
  <c r="DP246" i="1"/>
  <c r="DP247" i="1"/>
  <c r="DP248" i="1"/>
  <c r="DP249" i="1"/>
  <c r="DP250" i="1"/>
  <c r="DP251" i="1"/>
  <c r="DP252" i="1"/>
  <c r="DP253" i="1"/>
  <c r="DP254" i="1"/>
  <c r="DP255" i="1"/>
  <c r="DP256" i="1"/>
  <c r="DP257" i="1"/>
  <c r="DP258" i="1"/>
  <c r="DP259" i="1"/>
  <c r="DP260" i="1"/>
  <c r="DP261" i="1"/>
  <c r="DQ2" i="1"/>
  <c r="DP2" i="1"/>
  <c r="DR2" i="1" a="1"/>
  <c r="DR2" i="1" s="1"/>
  <c r="DT2" i="1"/>
  <c r="DT1" i="1"/>
  <c r="DH4" i="1"/>
  <c r="DE32" i="1" a="1"/>
  <c r="DE32" i="1" s="1"/>
  <c r="DD3" i="1"/>
  <c r="DE3" i="1" s="1" a="1"/>
  <c r="DE3" i="1" s="1"/>
  <c r="DD16" i="1"/>
  <c r="DE16" i="1" s="1" a="1"/>
  <c r="DE16" i="1" s="1"/>
  <c r="DD19" i="1"/>
  <c r="DE19" i="1" s="1" a="1"/>
  <c r="DE19" i="1" s="1"/>
  <c r="DD32" i="1"/>
  <c r="DD35" i="1"/>
  <c r="DE35" i="1" s="1" a="1"/>
  <c r="DE35" i="1" s="1"/>
  <c r="DD48" i="1"/>
  <c r="DE48" i="1" s="1" a="1"/>
  <c r="DE48" i="1" s="1"/>
  <c r="DD51" i="1"/>
  <c r="DE51" i="1" s="1" a="1"/>
  <c r="DE51" i="1" s="1"/>
  <c r="DD64" i="1"/>
  <c r="DE64" i="1" s="1" a="1"/>
  <c r="DE64" i="1" s="1"/>
  <c r="DD67" i="1"/>
  <c r="DE67" i="1" s="1" a="1"/>
  <c r="DE67" i="1" s="1"/>
  <c r="DD80" i="1"/>
  <c r="DE80" i="1" s="1" a="1"/>
  <c r="DE80" i="1" s="1"/>
  <c r="DD83" i="1"/>
  <c r="DE83" i="1" s="1" a="1"/>
  <c r="DE83" i="1" s="1"/>
  <c r="DD96" i="1"/>
  <c r="DE96" i="1" s="1" a="1"/>
  <c r="DE96" i="1" s="1"/>
  <c r="DD99" i="1"/>
  <c r="DE99" i="1" s="1" a="1"/>
  <c r="DE99" i="1" s="1"/>
  <c r="DD112" i="1"/>
  <c r="DE112" i="1" s="1" a="1"/>
  <c r="DE112" i="1" s="1"/>
  <c r="DD115" i="1"/>
  <c r="DE115" i="1" s="1" a="1"/>
  <c r="DE115" i="1" s="1"/>
  <c r="DD128" i="1"/>
  <c r="DE128" i="1" s="1" a="1"/>
  <c r="DE128" i="1" s="1"/>
  <c r="DD131" i="1"/>
  <c r="DE131" i="1" s="1" a="1"/>
  <c r="DE131" i="1" s="1"/>
  <c r="DD144" i="1"/>
  <c r="DE144" i="1" s="1" a="1"/>
  <c r="DE144" i="1" s="1"/>
  <c r="DD147" i="1"/>
  <c r="DE147" i="1" s="1" a="1"/>
  <c r="DE147" i="1" s="1"/>
  <c r="DD160" i="1"/>
  <c r="DE160" i="1" s="1" a="1"/>
  <c r="DE160" i="1" s="1"/>
  <c r="DD163" i="1"/>
  <c r="DE163" i="1" s="1" a="1"/>
  <c r="DE163" i="1" s="1"/>
  <c r="DD176" i="1"/>
  <c r="DE176" i="1" s="1" a="1"/>
  <c r="DE176" i="1" s="1"/>
  <c r="DD179" i="1"/>
  <c r="DE179" i="1" s="1" a="1"/>
  <c r="DE179" i="1" s="1"/>
  <c r="DD192" i="1"/>
  <c r="DE192" i="1" s="1" a="1"/>
  <c r="DE192" i="1" s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2" i="1"/>
  <c r="DH2" i="1"/>
  <c r="DD5" i="1" s="1"/>
  <c r="DE5" i="1" s="1" a="1"/>
  <c r="DE5" i="1" s="1"/>
  <c r="DH1" i="1"/>
  <c r="CT4" i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208" i="1"/>
  <c r="CP209" i="1"/>
  <c r="CP210" i="1"/>
  <c r="CP211" i="1"/>
  <c r="CP212" i="1"/>
  <c r="CP213" i="1"/>
  <c r="CP214" i="1"/>
  <c r="CP215" i="1"/>
  <c r="CP216" i="1"/>
  <c r="CP217" i="1"/>
  <c r="CP218" i="1"/>
  <c r="CP219" i="1"/>
  <c r="CP220" i="1"/>
  <c r="CP221" i="1"/>
  <c r="CP222" i="1"/>
  <c r="CP223" i="1"/>
  <c r="CP224" i="1"/>
  <c r="CP225" i="1"/>
  <c r="CP226" i="1"/>
  <c r="CP227" i="1"/>
  <c r="CP228" i="1"/>
  <c r="CP229" i="1"/>
  <c r="CP230" i="1"/>
  <c r="CP231" i="1"/>
  <c r="CP232" i="1"/>
  <c r="CP233" i="1"/>
  <c r="CP234" i="1"/>
  <c r="CP235" i="1"/>
  <c r="CP236" i="1"/>
  <c r="CP237" i="1"/>
  <c r="CP238" i="1"/>
  <c r="CP239" i="1"/>
  <c r="CP240" i="1"/>
  <c r="CP241" i="1"/>
  <c r="CP242" i="1"/>
  <c r="CP243" i="1"/>
  <c r="CP244" i="1"/>
  <c r="CP245" i="1"/>
  <c r="CP246" i="1"/>
  <c r="CP247" i="1"/>
  <c r="CP248" i="1"/>
  <c r="CP249" i="1"/>
  <c r="CP250" i="1"/>
  <c r="CP2" i="1"/>
  <c r="CT2" i="1"/>
  <c r="CQ58" i="1" s="1"/>
  <c r="CR58" i="1" s="1" a="1"/>
  <c r="CR58" i="1" s="1"/>
  <c r="CT1" i="1"/>
  <c r="CH4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" i="1"/>
  <c r="CH2" i="1"/>
  <c r="CD88" i="1" s="1"/>
  <c r="CE88" i="1" s="1" a="1"/>
  <c r="CE88" i="1" s="1"/>
  <c r="CH1" i="1"/>
  <c r="BT4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" i="1"/>
  <c r="BT2" i="1"/>
  <c r="BT1" i="1"/>
  <c r="BH4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" i="1"/>
  <c r="BH2" i="1"/>
  <c r="BH1" i="1"/>
  <c r="AT4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" i="1"/>
  <c r="AT2" i="1"/>
  <c r="AT1" i="1"/>
  <c r="AH4" i="1"/>
  <c r="AH5" i="1"/>
  <c r="AC13" i="1" s="1"/>
  <c r="AH2" i="1"/>
  <c r="AH1" i="1"/>
  <c r="T4" i="1"/>
  <c r="H4" i="1"/>
  <c r="O84" i="1"/>
  <c r="O83" i="1"/>
  <c r="O82" i="1"/>
  <c r="O81" i="1"/>
  <c r="O80" i="1"/>
  <c r="O79" i="1"/>
  <c r="O78" i="1"/>
  <c r="O77" i="1"/>
  <c r="O76" i="1"/>
  <c r="O43" i="1"/>
  <c r="O66" i="1" s="1"/>
  <c r="O42" i="1"/>
  <c r="O65" i="1" s="1"/>
  <c r="O41" i="1"/>
  <c r="O48" i="1" s="1"/>
  <c r="O71" i="1" s="1"/>
  <c r="O40" i="1"/>
  <c r="O63" i="1" s="1"/>
  <c r="O39" i="1"/>
  <c r="O46" i="1" s="1"/>
  <c r="O69" i="1" s="1"/>
  <c r="O38" i="1"/>
  <c r="O37" i="1"/>
  <c r="O36" i="1"/>
  <c r="O35" i="1"/>
  <c r="O45" i="1" s="1"/>
  <c r="O68" i="1" s="1"/>
  <c r="O34" i="1"/>
  <c r="O44" i="1" s="1"/>
  <c r="O67" i="1" s="1"/>
  <c r="O6" i="1"/>
  <c r="P14" i="1"/>
  <c r="O5" i="1"/>
  <c r="O4" i="1"/>
  <c r="O3" i="1"/>
  <c r="T2" i="1"/>
  <c r="O2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H2" i="1"/>
  <c r="C2" i="1"/>
  <c r="H1" i="1"/>
  <c r="CQ122" i="1" l="1"/>
  <c r="CR122" i="1" s="1" a="1"/>
  <c r="CR122" i="1" s="1"/>
  <c r="DD180" i="1"/>
  <c r="DE180" i="1" s="1" a="1"/>
  <c r="DE180" i="1" s="1"/>
  <c r="DD164" i="1"/>
  <c r="DE164" i="1" s="1" a="1"/>
  <c r="DE164" i="1" s="1"/>
  <c r="DD148" i="1"/>
  <c r="DE148" i="1" s="1" a="1"/>
  <c r="DE148" i="1" s="1"/>
  <c r="DD132" i="1"/>
  <c r="DE132" i="1" s="1" a="1"/>
  <c r="DE132" i="1" s="1"/>
  <c r="DD116" i="1"/>
  <c r="DE116" i="1" s="1" a="1"/>
  <c r="DE116" i="1" s="1"/>
  <c r="DD100" i="1"/>
  <c r="DE100" i="1" s="1" a="1"/>
  <c r="DE100" i="1" s="1"/>
  <c r="DD84" i="1"/>
  <c r="DE84" i="1" s="1" a="1"/>
  <c r="DE84" i="1" s="1"/>
  <c r="DD68" i="1"/>
  <c r="DE68" i="1" s="1" a="1"/>
  <c r="DE68" i="1" s="1"/>
  <c r="DD52" i="1"/>
  <c r="DE52" i="1" s="1" a="1"/>
  <c r="DE52" i="1" s="1"/>
  <c r="DD36" i="1"/>
  <c r="DE36" i="1" s="1" a="1"/>
  <c r="DE36" i="1" s="1"/>
  <c r="DD20" i="1"/>
  <c r="DE20" i="1" s="1" a="1"/>
  <c r="DE20" i="1" s="1"/>
  <c r="DD4" i="1"/>
  <c r="DE4" i="1" s="1" a="1"/>
  <c r="DE4" i="1" s="1"/>
  <c r="DD178" i="1"/>
  <c r="DE178" i="1" s="1" a="1"/>
  <c r="DE178" i="1" s="1"/>
  <c r="DD162" i="1"/>
  <c r="DE162" i="1" s="1" a="1"/>
  <c r="DE162" i="1" s="1"/>
  <c r="DD146" i="1"/>
  <c r="DE146" i="1" s="1" a="1"/>
  <c r="DE146" i="1" s="1"/>
  <c r="DD130" i="1"/>
  <c r="DE130" i="1" s="1" a="1"/>
  <c r="DE130" i="1" s="1"/>
  <c r="DD114" i="1"/>
  <c r="DE114" i="1" s="1" a="1"/>
  <c r="DE114" i="1" s="1"/>
  <c r="DD98" i="1"/>
  <c r="DE98" i="1" s="1" a="1"/>
  <c r="DE98" i="1" s="1"/>
  <c r="DD82" i="1"/>
  <c r="DE82" i="1" s="1" a="1"/>
  <c r="DE82" i="1" s="1"/>
  <c r="DD66" i="1"/>
  <c r="DE66" i="1" s="1" a="1"/>
  <c r="DE66" i="1" s="1"/>
  <c r="DD50" i="1"/>
  <c r="DE50" i="1" s="1" a="1"/>
  <c r="DE50" i="1" s="1"/>
  <c r="DD34" i="1"/>
  <c r="DE34" i="1" s="1" a="1"/>
  <c r="DE34" i="1" s="1"/>
  <c r="DD18" i="1"/>
  <c r="DE18" i="1" s="1" a="1"/>
  <c r="DE18" i="1" s="1"/>
  <c r="DD2" i="1"/>
  <c r="DE2" i="1" s="1" a="1"/>
  <c r="DE2" i="1" s="1"/>
  <c r="DD193" i="1"/>
  <c r="DE193" i="1" s="1" a="1"/>
  <c r="DE193" i="1" s="1"/>
  <c r="DD177" i="1"/>
  <c r="DE177" i="1" s="1" a="1"/>
  <c r="DE177" i="1" s="1"/>
  <c r="DD161" i="1"/>
  <c r="DE161" i="1" s="1" a="1"/>
  <c r="DE161" i="1" s="1"/>
  <c r="DD145" i="1"/>
  <c r="DE145" i="1" s="1" a="1"/>
  <c r="DE145" i="1" s="1"/>
  <c r="DD129" i="1"/>
  <c r="DE129" i="1" s="1" a="1"/>
  <c r="DE129" i="1" s="1"/>
  <c r="DD113" i="1"/>
  <c r="DE113" i="1" s="1" a="1"/>
  <c r="DE113" i="1" s="1"/>
  <c r="DD97" i="1"/>
  <c r="DE97" i="1" s="1" a="1"/>
  <c r="DE97" i="1" s="1"/>
  <c r="DD81" i="1"/>
  <c r="DE81" i="1" s="1" a="1"/>
  <c r="DE81" i="1" s="1"/>
  <c r="DD65" i="1"/>
  <c r="DE65" i="1" s="1" a="1"/>
  <c r="DE65" i="1" s="1"/>
  <c r="DD49" i="1"/>
  <c r="DE49" i="1" s="1" a="1"/>
  <c r="DE49" i="1" s="1"/>
  <c r="DD33" i="1"/>
  <c r="DE33" i="1" s="1" a="1"/>
  <c r="DE33" i="1" s="1"/>
  <c r="DD17" i="1"/>
  <c r="DE17" i="1" s="1" a="1"/>
  <c r="DE17" i="1" s="1"/>
  <c r="DD191" i="1"/>
  <c r="DE191" i="1" s="1" a="1"/>
  <c r="DE191" i="1" s="1"/>
  <c r="DD175" i="1"/>
  <c r="DE175" i="1" s="1" a="1"/>
  <c r="DE175" i="1" s="1"/>
  <c r="DD159" i="1"/>
  <c r="DE159" i="1" s="1" a="1"/>
  <c r="DE159" i="1" s="1"/>
  <c r="DD143" i="1"/>
  <c r="DE143" i="1" s="1" a="1"/>
  <c r="DE143" i="1" s="1"/>
  <c r="DD127" i="1"/>
  <c r="DE127" i="1" s="1" a="1"/>
  <c r="DE127" i="1" s="1"/>
  <c r="DD111" i="1"/>
  <c r="DE111" i="1" s="1" a="1"/>
  <c r="DE111" i="1" s="1"/>
  <c r="DD95" i="1"/>
  <c r="DE95" i="1" s="1" a="1"/>
  <c r="DE95" i="1" s="1"/>
  <c r="DD79" i="1"/>
  <c r="DE79" i="1" s="1" a="1"/>
  <c r="DE79" i="1" s="1"/>
  <c r="DD63" i="1"/>
  <c r="DE63" i="1" s="1" a="1"/>
  <c r="DE63" i="1" s="1"/>
  <c r="DD47" i="1"/>
  <c r="DE47" i="1" s="1" a="1"/>
  <c r="DE47" i="1" s="1"/>
  <c r="DD31" i="1"/>
  <c r="DE31" i="1" s="1" a="1"/>
  <c r="DE31" i="1" s="1"/>
  <c r="DD15" i="1"/>
  <c r="DE15" i="1" s="1" a="1"/>
  <c r="DE15" i="1" s="1"/>
  <c r="DD190" i="1"/>
  <c r="DE190" i="1" s="1" a="1"/>
  <c r="DE190" i="1" s="1"/>
  <c r="DD174" i="1"/>
  <c r="DE174" i="1" s="1" a="1"/>
  <c r="DE174" i="1" s="1"/>
  <c r="DD158" i="1"/>
  <c r="DE158" i="1" s="1" a="1"/>
  <c r="DE158" i="1" s="1"/>
  <c r="DD142" i="1"/>
  <c r="DE142" i="1" s="1" a="1"/>
  <c r="DE142" i="1" s="1"/>
  <c r="DD126" i="1"/>
  <c r="DE126" i="1" s="1" a="1"/>
  <c r="DE126" i="1" s="1"/>
  <c r="DD110" i="1"/>
  <c r="DE110" i="1" s="1" a="1"/>
  <c r="DE110" i="1" s="1"/>
  <c r="DD94" i="1"/>
  <c r="DE94" i="1" s="1" a="1"/>
  <c r="DE94" i="1" s="1"/>
  <c r="DD78" i="1"/>
  <c r="DE78" i="1" s="1" a="1"/>
  <c r="DE78" i="1" s="1"/>
  <c r="DD62" i="1"/>
  <c r="DE62" i="1" s="1" a="1"/>
  <c r="DE62" i="1" s="1"/>
  <c r="DD46" i="1"/>
  <c r="DE46" i="1" s="1" a="1"/>
  <c r="DE46" i="1" s="1"/>
  <c r="DD30" i="1"/>
  <c r="DE30" i="1" s="1" a="1"/>
  <c r="DE30" i="1" s="1"/>
  <c r="DD14" i="1"/>
  <c r="DE14" i="1" s="1" a="1"/>
  <c r="DE14" i="1" s="1"/>
  <c r="DD189" i="1"/>
  <c r="DE189" i="1" s="1" a="1"/>
  <c r="DE189" i="1" s="1"/>
  <c r="DD173" i="1"/>
  <c r="DE173" i="1" s="1" a="1"/>
  <c r="DE173" i="1" s="1"/>
  <c r="DD157" i="1"/>
  <c r="DE157" i="1" s="1" a="1"/>
  <c r="DE157" i="1" s="1"/>
  <c r="DD141" i="1"/>
  <c r="DE141" i="1" s="1" a="1"/>
  <c r="DE141" i="1" s="1"/>
  <c r="DD125" i="1"/>
  <c r="DE125" i="1" s="1" a="1"/>
  <c r="DE125" i="1" s="1"/>
  <c r="DD109" i="1"/>
  <c r="DE109" i="1" s="1" a="1"/>
  <c r="DE109" i="1" s="1"/>
  <c r="DD93" i="1"/>
  <c r="DE93" i="1" s="1" a="1"/>
  <c r="DE93" i="1" s="1"/>
  <c r="DD77" i="1"/>
  <c r="DE77" i="1" s="1" a="1"/>
  <c r="DE77" i="1" s="1"/>
  <c r="DD61" i="1"/>
  <c r="DE61" i="1" s="1" a="1"/>
  <c r="DE61" i="1" s="1"/>
  <c r="DD45" i="1"/>
  <c r="DE45" i="1" s="1" a="1"/>
  <c r="DE45" i="1" s="1"/>
  <c r="DD29" i="1"/>
  <c r="DE29" i="1" s="1" a="1"/>
  <c r="DE29" i="1" s="1"/>
  <c r="DD13" i="1"/>
  <c r="DE13" i="1" s="1" a="1"/>
  <c r="DE13" i="1" s="1"/>
  <c r="DD188" i="1"/>
  <c r="DE188" i="1" s="1" a="1"/>
  <c r="DE188" i="1" s="1"/>
  <c r="DD172" i="1"/>
  <c r="DE172" i="1" s="1" a="1"/>
  <c r="DE172" i="1" s="1"/>
  <c r="DD156" i="1"/>
  <c r="DE156" i="1" s="1" a="1"/>
  <c r="DE156" i="1" s="1"/>
  <c r="DD140" i="1"/>
  <c r="DE140" i="1" s="1" a="1"/>
  <c r="DE140" i="1" s="1"/>
  <c r="DD124" i="1"/>
  <c r="DE124" i="1" s="1" a="1"/>
  <c r="DE124" i="1" s="1"/>
  <c r="DD108" i="1"/>
  <c r="DE108" i="1" s="1" a="1"/>
  <c r="DE108" i="1" s="1"/>
  <c r="DD92" i="1"/>
  <c r="DE92" i="1" s="1" a="1"/>
  <c r="DE92" i="1" s="1"/>
  <c r="DD76" i="1"/>
  <c r="DE76" i="1" s="1" a="1"/>
  <c r="DE76" i="1" s="1"/>
  <c r="DD60" i="1"/>
  <c r="DE60" i="1" s="1" a="1"/>
  <c r="DE60" i="1" s="1"/>
  <c r="DD44" i="1"/>
  <c r="DE44" i="1" s="1" a="1"/>
  <c r="DE44" i="1" s="1"/>
  <c r="DD28" i="1"/>
  <c r="DE28" i="1" s="1" a="1"/>
  <c r="DE28" i="1" s="1"/>
  <c r="DD12" i="1"/>
  <c r="DE12" i="1" s="1" a="1"/>
  <c r="DE12" i="1" s="1"/>
  <c r="DD187" i="1"/>
  <c r="DE187" i="1" s="1" a="1"/>
  <c r="DE187" i="1" s="1"/>
  <c r="DD171" i="1"/>
  <c r="DE171" i="1" s="1" a="1"/>
  <c r="DE171" i="1" s="1"/>
  <c r="DD155" i="1"/>
  <c r="DE155" i="1" s="1" a="1"/>
  <c r="DE155" i="1" s="1"/>
  <c r="DD139" i="1"/>
  <c r="DE139" i="1" s="1" a="1"/>
  <c r="DE139" i="1" s="1"/>
  <c r="DD123" i="1"/>
  <c r="DE123" i="1" s="1" a="1"/>
  <c r="DE123" i="1" s="1"/>
  <c r="DD107" i="1"/>
  <c r="DE107" i="1" s="1" a="1"/>
  <c r="DE107" i="1" s="1"/>
  <c r="DD91" i="1"/>
  <c r="DE91" i="1" s="1" a="1"/>
  <c r="DE91" i="1" s="1"/>
  <c r="DD75" i="1"/>
  <c r="DE75" i="1" s="1" a="1"/>
  <c r="DE75" i="1" s="1"/>
  <c r="DD59" i="1"/>
  <c r="DE59" i="1" s="1" a="1"/>
  <c r="DE59" i="1" s="1"/>
  <c r="DD43" i="1"/>
  <c r="DE43" i="1" s="1" a="1"/>
  <c r="DE43" i="1" s="1"/>
  <c r="DD27" i="1"/>
  <c r="DE27" i="1" s="1" a="1"/>
  <c r="DE27" i="1" s="1"/>
  <c r="DD11" i="1"/>
  <c r="DE11" i="1" s="1" a="1"/>
  <c r="DE11" i="1" s="1"/>
  <c r="DD186" i="1"/>
  <c r="DE186" i="1" s="1" a="1"/>
  <c r="DE186" i="1" s="1"/>
  <c r="DD170" i="1"/>
  <c r="DE170" i="1" s="1" a="1"/>
  <c r="DE170" i="1" s="1"/>
  <c r="DD154" i="1"/>
  <c r="DE154" i="1" s="1" a="1"/>
  <c r="DE154" i="1" s="1"/>
  <c r="DD138" i="1"/>
  <c r="DE138" i="1" s="1" a="1"/>
  <c r="DE138" i="1" s="1"/>
  <c r="DD122" i="1"/>
  <c r="DE122" i="1" s="1" a="1"/>
  <c r="DE122" i="1" s="1"/>
  <c r="DD106" i="1"/>
  <c r="DE106" i="1" s="1" a="1"/>
  <c r="DE106" i="1" s="1"/>
  <c r="DD90" i="1"/>
  <c r="DE90" i="1" s="1" a="1"/>
  <c r="DE90" i="1" s="1"/>
  <c r="DD74" i="1"/>
  <c r="DE74" i="1" s="1" a="1"/>
  <c r="DE74" i="1" s="1"/>
  <c r="DD58" i="1"/>
  <c r="DE58" i="1" s="1" a="1"/>
  <c r="DE58" i="1" s="1"/>
  <c r="DD42" i="1"/>
  <c r="DE42" i="1" s="1" a="1"/>
  <c r="DE42" i="1" s="1"/>
  <c r="DD26" i="1"/>
  <c r="DE26" i="1" s="1" a="1"/>
  <c r="DE26" i="1" s="1"/>
  <c r="DD10" i="1"/>
  <c r="DE10" i="1" s="1" a="1"/>
  <c r="DE10" i="1" s="1"/>
  <c r="CQ205" i="1"/>
  <c r="CR205" i="1" s="1" a="1"/>
  <c r="CR205" i="1" s="1"/>
  <c r="DD185" i="1"/>
  <c r="DE185" i="1" s="1" a="1"/>
  <c r="DE185" i="1" s="1"/>
  <c r="DD169" i="1"/>
  <c r="DE169" i="1" s="1" a="1"/>
  <c r="DE169" i="1" s="1"/>
  <c r="DD153" i="1"/>
  <c r="DE153" i="1" s="1" a="1"/>
  <c r="DE153" i="1" s="1"/>
  <c r="DD137" i="1"/>
  <c r="DE137" i="1" s="1" a="1"/>
  <c r="DE137" i="1" s="1"/>
  <c r="DD121" i="1"/>
  <c r="DE121" i="1" s="1" a="1"/>
  <c r="DE121" i="1" s="1"/>
  <c r="DD105" i="1"/>
  <c r="DE105" i="1" s="1" a="1"/>
  <c r="DE105" i="1" s="1"/>
  <c r="DD89" i="1"/>
  <c r="DE89" i="1" s="1" a="1"/>
  <c r="DE89" i="1" s="1"/>
  <c r="DD73" i="1"/>
  <c r="DE73" i="1" s="1" a="1"/>
  <c r="DE73" i="1" s="1"/>
  <c r="DD57" i="1"/>
  <c r="DE57" i="1" s="1" a="1"/>
  <c r="DE57" i="1" s="1"/>
  <c r="DD41" i="1"/>
  <c r="DE41" i="1" s="1" a="1"/>
  <c r="DE41" i="1" s="1"/>
  <c r="DD25" i="1"/>
  <c r="DE25" i="1" s="1" a="1"/>
  <c r="DE25" i="1" s="1"/>
  <c r="DD9" i="1"/>
  <c r="DE9" i="1" s="1" a="1"/>
  <c r="DE9" i="1" s="1"/>
  <c r="CQ123" i="1"/>
  <c r="CR123" i="1" s="1" a="1"/>
  <c r="CR123" i="1" s="1"/>
  <c r="DD184" i="1"/>
  <c r="DE184" i="1" s="1" a="1"/>
  <c r="DE184" i="1" s="1"/>
  <c r="DD168" i="1"/>
  <c r="DE168" i="1" s="1" a="1"/>
  <c r="DE168" i="1" s="1"/>
  <c r="DD152" i="1"/>
  <c r="DE152" i="1" s="1" a="1"/>
  <c r="DE152" i="1" s="1"/>
  <c r="DD136" i="1"/>
  <c r="DE136" i="1" s="1" a="1"/>
  <c r="DE136" i="1" s="1"/>
  <c r="DD120" i="1"/>
  <c r="DE120" i="1" s="1" a="1"/>
  <c r="DE120" i="1" s="1"/>
  <c r="DD104" i="1"/>
  <c r="DE104" i="1" s="1" a="1"/>
  <c r="DE104" i="1" s="1"/>
  <c r="DD88" i="1"/>
  <c r="DE88" i="1" s="1" a="1"/>
  <c r="DE88" i="1" s="1"/>
  <c r="DD72" i="1"/>
  <c r="DE72" i="1" s="1" a="1"/>
  <c r="DE72" i="1" s="1"/>
  <c r="DD56" i="1"/>
  <c r="DE56" i="1" s="1" a="1"/>
  <c r="DE56" i="1" s="1"/>
  <c r="DD40" i="1"/>
  <c r="DE40" i="1" s="1" a="1"/>
  <c r="DE40" i="1" s="1"/>
  <c r="DD24" i="1"/>
  <c r="DE24" i="1" s="1" a="1"/>
  <c r="DE24" i="1" s="1"/>
  <c r="DD8" i="1"/>
  <c r="DE8" i="1" s="1" a="1"/>
  <c r="DE8" i="1" s="1"/>
  <c r="CD233" i="1"/>
  <c r="CE233" i="1" s="1" a="1"/>
  <c r="CE233" i="1" s="1"/>
  <c r="CQ42" i="1"/>
  <c r="CR42" i="1" s="1" a="1"/>
  <c r="CR42" i="1" s="1"/>
  <c r="DD183" i="1"/>
  <c r="DE183" i="1" s="1" a="1"/>
  <c r="DE183" i="1" s="1"/>
  <c r="DD167" i="1"/>
  <c r="DE167" i="1" s="1" a="1"/>
  <c r="DE167" i="1" s="1"/>
  <c r="DD151" i="1"/>
  <c r="DE151" i="1" s="1" a="1"/>
  <c r="DE151" i="1" s="1"/>
  <c r="DD135" i="1"/>
  <c r="DE135" i="1" s="1" a="1"/>
  <c r="DE135" i="1" s="1"/>
  <c r="DD119" i="1"/>
  <c r="DE119" i="1" s="1" a="1"/>
  <c r="DE119" i="1" s="1"/>
  <c r="DD103" i="1"/>
  <c r="DE103" i="1" s="1" a="1"/>
  <c r="DE103" i="1" s="1"/>
  <c r="DD87" i="1"/>
  <c r="DE87" i="1" s="1" a="1"/>
  <c r="DE87" i="1" s="1"/>
  <c r="DD71" i="1"/>
  <c r="DE71" i="1" s="1" a="1"/>
  <c r="DE71" i="1" s="1"/>
  <c r="DD55" i="1"/>
  <c r="DE55" i="1" s="1" a="1"/>
  <c r="DE55" i="1" s="1"/>
  <c r="DD39" i="1"/>
  <c r="DE39" i="1" s="1" a="1"/>
  <c r="DE39" i="1" s="1"/>
  <c r="DD23" i="1"/>
  <c r="DE23" i="1" s="1" a="1"/>
  <c r="DE23" i="1" s="1"/>
  <c r="DD7" i="1"/>
  <c r="DE7" i="1" s="1" a="1"/>
  <c r="DE7" i="1" s="1"/>
  <c r="CD228" i="1"/>
  <c r="CE228" i="1" s="1" a="1"/>
  <c r="CE228" i="1" s="1"/>
  <c r="DD182" i="1"/>
  <c r="DE182" i="1" s="1" a="1"/>
  <c r="DE182" i="1" s="1"/>
  <c r="DD166" i="1"/>
  <c r="DE166" i="1" s="1" a="1"/>
  <c r="DE166" i="1" s="1"/>
  <c r="DD150" i="1"/>
  <c r="DE150" i="1" s="1" a="1"/>
  <c r="DE150" i="1" s="1"/>
  <c r="DD134" i="1"/>
  <c r="DE134" i="1" s="1" a="1"/>
  <c r="DE134" i="1" s="1"/>
  <c r="DD118" i="1"/>
  <c r="DE118" i="1" s="1" a="1"/>
  <c r="DE118" i="1" s="1"/>
  <c r="DD102" i="1"/>
  <c r="DE102" i="1" s="1" a="1"/>
  <c r="DE102" i="1" s="1"/>
  <c r="DD86" i="1"/>
  <c r="DE86" i="1" s="1" a="1"/>
  <c r="DE86" i="1" s="1"/>
  <c r="DD70" i="1"/>
  <c r="DE70" i="1" s="1" a="1"/>
  <c r="DE70" i="1" s="1"/>
  <c r="DD54" i="1"/>
  <c r="DE54" i="1" s="1" a="1"/>
  <c r="DE54" i="1" s="1"/>
  <c r="DD38" i="1"/>
  <c r="DE38" i="1" s="1" a="1"/>
  <c r="DE38" i="1" s="1"/>
  <c r="DD22" i="1"/>
  <c r="DE22" i="1" s="1" a="1"/>
  <c r="DE22" i="1" s="1"/>
  <c r="DD6" i="1"/>
  <c r="DE6" i="1" s="1" a="1"/>
  <c r="DE6" i="1" s="1"/>
  <c r="DT3" i="1"/>
  <c r="DD181" i="1"/>
  <c r="DE181" i="1" s="1" a="1"/>
  <c r="DE181" i="1" s="1"/>
  <c r="DD165" i="1"/>
  <c r="DE165" i="1" s="1" a="1"/>
  <c r="DE165" i="1" s="1"/>
  <c r="DD149" i="1"/>
  <c r="DE149" i="1" s="1" a="1"/>
  <c r="DE149" i="1" s="1"/>
  <c r="DD133" i="1"/>
  <c r="DE133" i="1" s="1" a="1"/>
  <c r="DE133" i="1" s="1"/>
  <c r="DD117" i="1"/>
  <c r="DE117" i="1" s="1" a="1"/>
  <c r="DE117" i="1" s="1"/>
  <c r="DD101" i="1"/>
  <c r="DE101" i="1" s="1" a="1"/>
  <c r="DE101" i="1" s="1"/>
  <c r="DD85" i="1"/>
  <c r="DE85" i="1" s="1" a="1"/>
  <c r="DE85" i="1" s="1"/>
  <c r="DD69" i="1"/>
  <c r="DE69" i="1" s="1" a="1"/>
  <c r="DE69" i="1" s="1"/>
  <c r="DD53" i="1"/>
  <c r="DE53" i="1" s="1" a="1"/>
  <c r="DE53" i="1" s="1"/>
  <c r="DD37" i="1"/>
  <c r="DE37" i="1" s="1" a="1"/>
  <c r="DE37" i="1" s="1"/>
  <c r="DD21" i="1"/>
  <c r="DE21" i="1" s="1" a="1"/>
  <c r="DE21" i="1" s="1"/>
  <c r="CQ221" i="1"/>
  <c r="CR221" i="1" s="1" a="1"/>
  <c r="CR221" i="1" s="1"/>
  <c r="CQ139" i="1"/>
  <c r="CR139" i="1" s="1" a="1"/>
  <c r="CR139" i="1" s="1"/>
  <c r="CQ219" i="1"/>
  <c r="CR219" i="1" s="1" a="1"/>
  <c r="CR219" i="1" s="1"/>
  <c r="CQ138" i="1"/>
  <c r="CR138" i="1" s="1" a="1"/>
  <c r="CR138" i="1" s="1"/>
  <c r="CQ45" i="1"/>
  <c r="CR45" i="1" s="1" a="1"/>
  <c r="CR45" i="1" s="1"/>
  <c r="CQ15" i="1"/>
  <c r="CR15" i="1" s="1" a="1"/>
  <c r="CR15" i="1" s="1"/>
  <c r="CQ218" i="1"/>
  <c r="CR218" i="1" s="1" a="1"/>
  <c r="CR218" i="1" s="1"/>
  <c r="CQ125" i="1"/>
  <c r="CR125" i="1" s="1" a="1"/>
  <c r="CR125" i="1" s="1"/>
  <c r="CQ43" i="1"/>
  <c r="CR43" i="1" s="1" a="1"/>
  <c r="CR43" i="1" s="1"/>
  <c r="CQ202" i="1"/>
  <c r="CR202" i="1" s="1" a="1"/>
  <c r="CR202" i="1" s="1"/>
  <c r="CQ109" i="1"/>
  <c r="CR109" i="1" s="1" a="1"/>
  <c r="CR109" i="1" s="1"/>
  <c r="CQ27" i="1"/>
  <c r="CR27" i="1" s="1" a="1"/>
  <c r="CR27" i="1" s="1"/>
  <c r="BQ51" i="1"/>
  <c r="BR51" i="1" s="1" a="1"/>
  <c r="BR51" i="1" s="1"/>
  <c r="CQ189" i="1"/>
  <c r="CR189" i="1" s="1" a="1"/>
  <c r="CR189" i="1" s="1"/>
  <c r="CQ107" i="1"/>
  <c r="CR107" i="1" s="1" a="1"/>
  <c r="CR107" i="1" s="1"/>
  <c r="CQ26" i="1"/>
  <c r="CR26" i="1" s="1" a="1"/>
  <c r="CR26" i="1" s="1"/>
  <c r="CQ29" i="1"/>
  <c r="CR29" i="1" s="1" a="1"/>
  <c r="CR29" i="1" s="1"/>
  <c r="CD218" i="1"/>
  <c r="CE218" i="1" s="1" a="1"/>
  <c r="CE218" i="1" s="1"/>
  <c r="CQ187" i="1"/>
  <c r="CR187" i="1" s="1" a="1"/>
  <c r="CR187" i="1" s="1"/>
  <c r="CQ106" i="1"/>
  <c r="CR106" i="1" s="1" a="1"/>
  <c r="CR106" i="1" s="1"/>
  <c r="CQ13" i="1"/>
  <c r="CR13" i="1" s="1" a="1"/>
  <c r="CR13" i="1" s="1"/>
  <c r="CD169" i="1"/>
  <c r="CE169" i="1" s="1" a="1"/>
  <c r="CE169" i="1" s="1"/>
  <c r="CQ186" i="1"/>
  <c r="CR186" i="1" s="1" a="1"/>
  <c r="CR186" i="1" s="1"/>
  <c r="CQ93" i="1"/>
  <c r="CR93" i="1" s="1" a="1"/>
  <c r="CR93" i="1" s="1"/>
  <c r="CQ11" i="1"/>
  <c r="CR11" i="1" s="1" a="1"/>
  <c r="CR11" i="1" s="1"/>
  <c r="CD164" i="1"/>
  <c r="CE164" i="1" s="1" a="1"/>
  <c r="CE164" i="1" s="1"/>
  <c r="CQ173" i="1"/>
  <c r="CR173" i="1" s="1" a="1"/>
  <c r="CR173" i="1" s="1"/>
  <c r="CQ91" i="1"/>
  <c r="CR91" i="1" s="1" a="1"/>
  <c r="CR91" i="1" s="1"/>
  <c r="CQ10" i="1"/>
  <c r="CR10" i="1" s="1" a="1"/>
  <c r="CR10" i="1" s="1"/>
  <c r="BQ197" i="1"/>
  <c r="BR197" i="1" s="1" a="1"/>
  <c r="BR197" i="1" s="1"/>
  <c r="CD154" i="1"/>
  <c r="CE154" i="1" s="1" a="1"/>
  <c r="CE154" i="1" s="1"/>
  <c r="CQ171" i="1"/>
  <c r="CR171" i="1" s="1" a="1"/>
  <c r="CR171" i="1" s="1"/>
  <c r="CQ90" i="1"/>
  <c r="CR90" i="1" s="1" a="1"/>
  <c r="CR90" i="1" s="1"/>
  <c r="CQ203" i="1"/>
  <c r="CR203" i="1" s="1" a="1"/>
  <c r="CR203" i="1" s="1"/>
  <c r="BQ195" i="1"/>
  <c r="BR195" i="1" s="1" a="1"/>
  <c r="BR195" i="1" s="1"/>
  <c r="CD104" i="1"/>
  <c r="CE104" i="1" s="1" a="1"/>
  <c r="CE104" i="1" s="1"/>
  <c r="CQ170" i="1"/>
  <c r="CR170" i="1" s="1" a="1"/>
  <c r="CR170" i="1" s="1"/>
  <c r="CQ77" i="1"/>
  <c r="CR77" i="1" s="1" a="1"/>
  <c r="CR77" i="1" s="1"/>
  <c r="CD89" i="1"/>
  <c r="CE89" i="1" s="1" a="1"/>
  <c r="CE89" i="1" s="1"/>
  <c r="CQ250" i="1"/>
  <c r="CR250" i="1" s="1" a="1"/>
  <c r="CR250" i="1" s="1"/>
  <c r="CQ157" i="1"/>
  <c r="CR157" i="1" s="1" a="1"/>
  <c r="CR157" i="1" s="1"/>
  <c r="CQ75" i="1"/>
  <c r="CR75" i="1" s="1" a="1"/>
  <c r="CR75" i="1" s="1"/>
  <c r="CQ237" i="1"/>
  <c r="CR237" i="1" s="1" a="1"/>
  <c r="CR237" i="1" s="1"/>
  <c r="CQ155" i="1"/>
  <c r="CR155" i="1" s="1" a="1"/>
  <c r="CR155" i="1" s="1"/>
  <c r="CQ74" i="1"/>
  <c r="CR74" i="1" s="1" a="1"/>
  <c r="CR74" i="1" s="1"/>
  <c r="CD11" i="1"/>
  <c r="CE11" i="1" s="1" a="1"/>
  <c r="CE11" i="1" s="1"/>
  <c r="CD10" i="1"/>
  <c r="CE10" i="1" s="1" a="1"/>
  <c r="CE10" i="1" s="1"/>
  <c r="CQ235" i="1"/>
  <c r="CR235" i="1" s="1" a="1"/>
  <c r="CR235" i="1" s="1"/>
  <c r="CQ154" i="1"/>
  <c r="CR154" i="1" s="1" a="1"/>
  <c r="CR154" i="1" s="1"/>
  <c r="CQ61" i="1"/>
  <c r="CR61" i="1" s="1" a="1"/>
  <c r="CR61" i="1" s="1"/>
  <c r="DH3" i="1"/>
  <c r="CD8" i="1"/>
  <c r="CE8" i="1" s="1" a="1"/>
  <c r="CE8" i="1" s="1"/>
  <c r="CQ234" i="1"/>
  <c r="CR234" i="1" s="1" a="1"/>
  <c r="CR234" i="1" s="1"/>
  <c r="CQ141" i="1"/>
  <c r="CR141" i="1" s="1" a="1"/>
  <c r="CR141" i="1" s="1"/>
  <c r="CQ59" i="1"/>
  <c r="CR59" i="1" s="1" a="1"/>
  <c r="CR59" i="1" s="1"/>
  <c r="CD234" i="1"/>
  <c r="CE234" i="1" s="1" a="1"/>
  <c r="CE234" i="1" s="1"/>
  <c r="CD170" i="1"/>
  <c r="CE170" i="1" s="1" a="1"/>
  <c r="CE170" i="1" s="1"/>
  <c r="CD105" i="1"/>
  <c r="CE105" i="1" s="1" a="1"/>
  <c r="CE105" i="1" s="1"/>
  <c r="CD24" i="1"/>
  <c r="CE24" i="1" s="1" a="1"/>
  <c r="CE24" i="1" s="1"/>
  <c r="CQ238" i="1"/>
  <c r="CR238" i="1" s="1" a="1"/>
  <c r="CR238" i="1" s="1"/>
  <c r="CQ222" i="1"/>
  <c r="CR222" i="1" s="1" a="1"/>
  <c r="CR222" i="1" s="1"/>
  <c r="CQ206" i="1"/>
  <c r="CR206" i="1" s="1" a="1"/>
  <c r="CR206" i="1" s="1"/>
  <c r="CQ190" i="1"/>
  <c r="CR190" i="1" s="1" a="1"/>
  <c r="CR190" i="1" s="1"/>
  <c r="CQ174" i="1"/>
  <c r="CR174" i="1" s="1" a="1"/>
  <c r="CR174" i="1" s="1"/>
  <c r="CQ158" i="1"/>
  <c r="CR158" i="1" s="1" a="1"/>
  <c r="CR158" i="1" s="1"/>
  <c r="CQ142" i="1"/>
  <c r="CR142" i="1" s="1" a="1"/>
  <c r="CR142" i="1" s="1"/>
  <c r="CQ126" i="1"/>
  <c r="CR126" i="1" s="1" a="1"/>
  <c r="CR126" i="1" s="1"/>
  <c r="CQ110" i="1"/>
  <c r="CR110" i="1" s="1" a="1"/>
  <c r="CR110" i="1" s="1"/>
  <c r="CQ94" i="1"/>
  <c r="CR94" i="1" s="1" a="1"/>
  <c r="CR94" i="1" s="1"/>
  <c r="CQ78" i="1"/>
  <c r="CR78" i="1" s="1" a="1"/>
  <c r="CR78" i="1" s="1"/>
  <c r="CQ62" i="1"/>
  <c r="CR62" i="1" s="1" a="1"/>
  <c r="CR62" i="1" s="1"/>
  <c r="CQ46" i="1"/>
  <c r="CR46" i="1" s="1" a="1"/>
  <c r="CR46" i="1" s="1"/>
  <c r="CQ30" i="1"/>
  <c r="CR30" i="1" s="1" a="1"/>
  <c r="CR30" i="1" s="1"/>
  <c r="CQ14" i="1"/>
  <c r="CR14" i="1" s="1" a="1"/>
  <c r="CR14" i="1" s="1"/>
  <c r="BQ211" i="1"/>
  <c r="BR211" i="1" s="1" a="1"/>
  <c r="BR211" i="1" s="1"/>
  <c r="CD232" i="1"/>
  <c r="CE232" i="1" s="1" a="1"/>
  <c r="CE232" i="1" s="1"/>
  <c r="CD168" i="1"/>
  <c r="CE168" i="1" s="1" a="1"/>
  <c r="CE168" i="1" s="1"/>
  <c r="CD90" i="1"/>
  <c r="CE90" i="1" s="1" a="1"/>
  <c r="CE90" i="1" s="1"/>
  <c r="CD9" i="1"/>
  <c r="CE9" i="1" s="1" a="1"/>
  <c r="CE9" i="1" s="1"/>
  <c r="CQ236" i="1"/>
  <c r="CR236" i="1" s="1" a="1"/>
  <c r="CR236" i="1" s="1"/>
  <c r="CQ220" i="1"/>
  <c r="CR220" i="1" s="1" a="1"/>
  <c r="CR220" i="1" s="1"/>
  <c r="CQ204" i="1"/>
  <c r="CR204" i="1" s="1" a="1"/>
  <c r="CR204" i="1" s="1"/>
  <c r="CQ188" i="1"/>
  <c r="CR188" i="1" s="1" a="1"/>
  <c r="CR188" i="1" s="1"/>
  <c r="CQ172" i="1"/>
  <c r="CR172" i="1" s="1" a="1"/>
  <c r="CR172" i="1" s="1"/>
  <c r="CQ156" i="1"/>
  <c r="CR156" i="1" s="1" a="1"/>
  <c r="CR156" i="1" s="1"/>
  <c r="CQ140" i="1"/>
  <c r="CR140" i="1" s="1" a="1"/>
  <c r="CR140" i="1" s="1"/>
  <c r="CQ124" i="1"/>
  <c r="CR124" i="1" s="1" a="1"/>
  <c r="CR124" i="1" s="1"/>
  <c r="CQ108" i="1"/>
  <c r="CR108" i="1" s="1" a="1"/>
  <c r="CR108" i="1" s="1"/>
  <c r="CQ92" i="1"/>
  <c r="CR92" i="1" s="1" a="1"/>
  <c r="CR92" i="1" s="1"/>
  <c r="CQ76" i="1"/>
  <c r="CR76" i="1" s="1" a="1"/>
  <c r="CR76" i="1" s="1"/>
  <c r="CQ60" i="1"/>
  <c r="CR60" i="1" s="1" a="1"/>
  <c r="CR60" i="1" s="1"/>
  <c r="CQ44" i="1"/>
  <c r="CR44" i="1" s="1" a="1"/>
  <c r="CR44" i="1" s="1"/>
  <c r="CQ28" i="1"/>
  <c r="CR28" i="1" s="1" a="1"/>
  <c r="CR28" i="1" s="1"/>
  <c r="CQ12" i="1"/>
  <c r="CR12" i="1" s="1" a="1"/>
  <c r="CR12" i="1" s="1"/>
  <c r="BQ69" i="1"/>
  <c r="BR69" i="1" s="1" a="1"/>
  <c r="BR69" i="1" s="1"/>
  <c r="CD217" i="1"/>
  <c r="CE217" i="1" s="1" a="1"/>
  <c r="CE217" i="1" s="1"/>
  <c r="CD153" i="1"/>
  <c r="CE153" i="1" s="1" a="1"/>
  <c r="CE153" i="1" s="1"/>
  <c r="CD74" i="1"/>
  <c r="CE74" i="1" s="1" a="1"/>
  <c r="CE74" i="1" s="1"/>
  <c r="CQ249" i="1"/>
  <c r="CR249" i="1" s="1" a="1"/>
  <c r="CR249" i="1" s="1"/>
  <c r="CQ233" i="1"/>
  <c r="CR233" i="1" s="1" a="1"/>
  <c r="CR233" i="1" s="1"/>
  <c r="CQ217" i="1"/>
  <c r="CR217" i="1" s="1" a="1"/>
  <c r="CR217" i="1" s="1"/>
  <c r="CQ201" i="1"/>
  <c r="CR201" i="1" s="1" a="1"/>
  <c r="CR201" i="1" s="1"/>
  <c r="CQ185" i="1"/>
  <c r="CR185" i="1" s="1" a="1"/>
  <c r="CR185" i="1" s="1"/>
  <c r="CQ169" i="1"/>
  <c r="CR169" i="1" s="1" a="1"/>
  <c r="CR169" i="1" s="1"/>
  <c r="CQ153" i="1"/>
  <c r="CR153" i="1" s="1" a="1"/>
  <c r="CR153" i="1" s="1"/>
  <c r="CQ137" i="1"/>
  <c r="CR137" i="1" s="1" a="1"/>
  <c r="CR137" i="1" s="1"/>
  <c r="CQ121" i="1"/>
  <c r="CR121" i="1" s="1" a="1"/>
  <c r="CR121" i="1" s="1"/>
  <c r="CQ105" i="1"/>
  <c r="CR105" i="1" s="1" a="1"/>
  <c r="CR105" i="1" s="1"/>
  <c r="CQ89" i="1"/>
  <c r="CR89" i="1" s="1" a="1"/>
  <c r="CR89" i="1" s="1"/>
  <c r="CQ73" i="1"/>
  <c r="CR73" i="1" s="1" a="1"/>
  <c r="CR73" i="1" s="1"/>
  <c r="CQ57" i="1"/>
  <c r="CR57" i="1" s="1" a="1"/>
  <c r="CR57" i="1" s="1"/>
  <c r="CQ41" i="1"/>
  <c r="CR41" i="1" s="1" a="1"/>
  <c r="CR41" i="1" s="1"/>
  <c r="CQ25" i="1"/>
  <c r="CR25" i="1" s="1" a="1"/>
  <c r="CR25" i="1" s="1"/>
  <c r="CQ9" i="1"/>
  <c r="CR9" i="1" s="1" a="1"/>
  <c r="CR9" i="1" s="1"/>
  <c r="CD216" i="1"/>
  <c r="CE216" i="1" s="1" a="1"/>
  <c r="CE216" i="1" s="1"/>
  <c r="CD152" i="1"/>
  <c r="CE152" i="1" s="1" a="1"/>
  <c r="CE152" i="1" s="1"/>
  <c r="CD73" i="1"/>
  <c r="CE73" i="1" s="1" a="1"/>
  <c r="CE73" i="1" s="1"/>
  <c r="CQ248" i="1"/>
  <c r="CR248" i="1" s="1" a="1"/>
  <c r="CR248" i="1" s="1"/>
  <c r="CQ232" i="1"/>
  <c r="CR232" i="1" s="1" a="1"/>
  <c r="CR232" i="1" s="1"/>
  <c r="CQ216" i="1"/>
  <c r="CR216" i="1" s="1" a="1"/>
  <c r="CR216" i="1" s="1"/>
  <c r="CQ200" i="1"/>
  <c r="CR200" i="1" s="1" a="1"/>
  <c r="CR200" i="1" s="1"/>
  <c r="CQ184" i="1"/>
  <c r="CR184" i="1" s="1" a="1"/>
  <c r="CR184" i="1" s="1"/>
  <c r="CQ168" i="1"/>
  <c r="CR168" i="1" s="1" a="1"/>
  <c r="CR168" i="1" s="1"/>
  <c r="CQ152" i="1"/>
  <c r="CR152" i="1" s="1" a="1"/>
  <c r="CR152" i="1" s="1"/>
  <c r="CQ136" i="1"/>
  <c r="CR136" i="1" s="1" a="1"/>
  <c r="CR136" i="1" s="1"/>
  <c r="CQ120" i="1"/>
  <c r="CR120" i="1" s="1" a="1"/>
  <c r="CR120" i="1" s="1"/>
  <c r="CQ104" i="1"/>
  <c r="CR104" i="1" s="1" a="1"/>
  <c r="CR104" i="1" s="1"/>
  <c r="CQ88" i="1"/>
  <c r="CR88" i="1" s="1" a="1"/>
  <c r="CR88" i="1" s="1"/>
  <c r="CQ72" i="1"/>
  <c r="CR72" i="1" s="1" a="1"/>
  <c r="CR72" i="1" s="1"/>
  <c r="CQ56" i="1"/>
  <c r="CR56" i="1" s="1" a="1"/>
  <c r="CR56" i="1" s="1"/>
  <c r="CQ40" i="1"/>
  <c r="CR40" i="1" s="1" a="1"/>
  <c r="CR40" i="1" s="1"/>
  <c r="CQ24" i="1"/>
  <c r="CR24" i="1" s="1" a="1"/>
  <c r="CR24" i="1" s="1"/>
  <c r="CQ8" i="1"/>
  <c r="CR8" i="1" s="1" a="1"/>
  <c r="CR8" i="1" s="1"/>
  <c r="BD72" i="1"/>
  <c r="BE72" i="1" s="1" a="1"/>
  <c r="BE72" i="1" s="1"/>
  <c r="CD212" i="1"/>
  <c r="CE212" i="1" s="1" a="1"/>
  <c r="CE212" i="1" s="1"/>
  <c r="CD148" i="1"/>
  <c r="CE148" i="1" s="1" a="1"/>
  <c r="CE148" i="1" s="1"/>
  <c r="CD72" i="1"/>
  <c r="CE72" i="1" s="1" a="1"/>
  <c r="CE72" i="1" s="1"/>
  <c r="CQ247" i="1"/>
  <c r="CR247" i="1" s="1" a="1"/>
  <c r="CR247" i="1" s="1"/>
  <c r="CQ231" i="1"/>
  <c r="CR231" i="1" s="1" a="1"/>
  <c r="CR231" i="1" s="1"/>
  <c r="CQ215" i="1"/>
  <c r="CR215" i="1" s="1" a="1"/>
  <c r="CR215" i="1" s="1"/>
  <c r="CQ199" i="1"/>
  <c r="CR199" i="1" s="1" a="1"/>
  <c r="CR199" i="1" s="1"/>
  <c r="CQ183" i="1"/>
  <c r="CR183" i="1" s="1" a="1"/>
  <c r="CR183" i="1" s="1"/>
  <c r="CQ167" i="1"/>
  <c r="CR167" i="1" s="1" a="1"/>
  <c r="CR167" i="1" s="1"/>
  <c r="CQ151" i="1"/>
  <c r="CR151" i="1" s="1" a="1"/>
  <c r="CR151" i="1" s="1"/>
  <c r="CQ135" i="1"/>
  <c r="CR135" i="1" s="1" a="1"/>
  <c r="CR135" i="1" s="1"/>
  <c r="CQ119" i="1"/>
  <c r="CR119" i="1" s="1" a="1"/>
  <c r="CR119" i="1" s="1"/>
  <c r="CQ103" i="1"/>
  <c r="CR103" i="1" s="1" a="1"/>
  <c r="CR103" i="1" s="1"/>
  <c r="CQ87" i="1"/>
  <c r="CR87" i="1" s="1" a="1"/>
  <c r="CR87" i="1" s="1"/>
  <c r="CQ71" i="1"/>
  <c r="CR71" i="1" s="1" a="1"/>
  <c r="CR71" i="1" s="1"/>
  <c r="CQ55" i="1"/>
  <c r="CR55" i="1" s="1" a="1"/>
  <c r="CR55" i="1" s="1"/>
  <c r="CQ39" i="1"/>
  <c r="CR39" i="1" s="1" a="1"/>
  <c r="CR39" i="1" s="1"/>
  <c r="CQ23" i="1"/>
  <c r="CR23" i="1" s="1" a="1"/>
  <c r="CR23" i="1" s="1"/>
  <c r="CQ7" i="1"/>
  <c r="CR7" i="1" s="1" a="1"/>
  <c r="CR7" i="1" s="1"/>
  <c r="CD202" i="1"/>
  <c r="CE202" i="1" s="1" a="1"/>
  <c r="CE202" i="1" s="1"/>
  <c r="CD138" i="1"/>
  <c r="CE138" i="1" s="1" a="1"/>
  <c r="CE138" i="1" s="1"/>
  <c r="CD58" i="1"/>
  <c r="CE58" i="1" s="1" a="1"/>
  <c r="CE58" i="1" s="1"/>
  <c r="CQ246" i="1"/>
  <c r="CR246" i="1" s="1" a="1"/>
  <c r="CR246" i="1" s="1"/>
  <c r="CQ230" i="1"/>
  <c r="CR230" i="1" s="1" a="1"/>
  <c r="CR230" i="1" s="1"/>
  <c r="CQ214" i="1"/>
  <c r="CR214" i="1" s="1" a="1"/>
  <c r="CR214" i="1" s="1"/>
  <c r="CQ198" i="1"/>
  <c r="CR198" i="1" s="1" a="1"/>
  <c r="CR198" i="1" s="1"/>
  <c r="CQ182" i="1"/>
  <c r="CR182" i="1" s="1" a="1"/>
  <c r="CR182" i="1" s="1"/>
  <c r="CQ166" i="1"/>
  <c r="CR166" i="1" s="1" a="1"/>
  <c r="CR166" i="1" s="1"/>
  <c r="CQ150" i="1"/>
  <c r="CR150" i="1" s="1" a="1"/>
  <c r="CR150" i="1" s="1"/>
  <c r="CQ134" i="1"/>
  <c r="CR134" i="1" s="1" a="1"/>
  <c r="CR134" i="1" s="1"/>
  <c r="CQ118" i="1"/>
  <c r="CR118" i="1" s="1" a="1"/>
  <c r="CR118" i="1" s="1"/>
  <c r="CQ102" i="1"/>
  <c r="CR102" i="1" s="1" a="1"/>
  <c r="CR102" i="1" s="1"/>
  <c r="CQ86" i="1"/>
  <c r="CR86" i="1" s="1" a="1"/>
  <c r="CR86" i="1" s="1"/>
  <c r="CQ70" i="1"/>
  <c r="CR70" i="1" s="1" a="1"/>
  <c r="CR70" i="1" s="1"/>
  <c r="CQ54" i="1"/>
  <c r="CR54" i="1" s="1" a="1"/>
  <c r="CR54" i="1" s="1"/>
  <c r="CQ38" i="1"/>
  <c r="CR38" i="1" s="1" a="1"/>
  <c r="CR38" i="1" s="1"/>
  <c r="CQ22" i="1"/>
  <c r="CR22" i="1" s="1" a="1"/>
  <c r="CR22" i="1" s="1"/>
  <c r="CQ6" i="1"/>
  <c r="CR6" i="1" s="1" a="1"/>
  <c r="CR6" i="1" s="1"/>
  <c r="CD201" i="1"/>
  <c r="CE201" i="1" s="1" a="1"/>
  <c r="CE201" i="1" s="1"/>
  <c r="CD137" i="1"/>
  <c r="CE137" i="1" s="1" a="1"/>
  <c r="CE137" i="1" s="1"/>
  <c r="CD57" i="1"/>
  <c r="CE57" i="1" s="1" a="1"/>
  <c r="CE57" i="1" s="1"/>
  <c r="CQ245" i="1"/>
  <c r="CR245" i="1" s="1" a="1"/>
  <c r="CR245" i="1" s="1"/>
  <c r="CQ229" i="1"/>
  <c r="CR229" i="1" s="1" a="1"/>
  <c r="CR229" i="1" s="1"/>
  <c r="CQ213" i="1"/>
  <c r="CR213" i="1" s="1" a="1"/>
  <c r="CR213" i="1" s="1"/>
  <c r="CQ197" i="1"/>
  <c r="CR197" i="1" s="1" a="1"/>
  <c r="CR197" i="1" s="1"/>
  <c r="CQ181" i="1"/>
  <c r="CR181" i="1" s="1" a="1"/>
  <c r="CR181" i="1" s="1"/>
  <c r="CQ165" i="1"/>
  <c r="CR165" i="1" s="1" a="1"/>
  <c r="CR165" i="1" s="1"/>
  <c r="CQ149" i="1"/>
  <c r="CR149" i="1" s="1" a="1"/>
  <c r="CR149" i="1" s="1"/>
  <c r="CQ133" i="1"/>
  <c r="CR133" i="1" s="1" a="1"/>
  <c r="CR133" i="1" s="1"/>
  <c r="CQ117" i="1"/>
  <c r="CR117" i="1" s="1" a="1"/>
  <c r="CR117" i="1" s="1"/>
  <c r="CQ101" i="1"/>
  <c r="CR101" i="1" s="1" a="1"/>
  <c r="CR101" i="1" s="1"/>
  <c r="CQ85" i="1"/>
  <c r="CR85" i="1" s="1" a="1"/>
  <c r="CR85" i="1" s="1"/>
  <c r="CQ69" i="1"/>
  <c r="CR69" i="1" s="1" a="1"/>
  <c r="CR69" i="1" s="1"/>
  <c r="CQ53" i="1"/>
  <c r="CR53" i="1" s="1" a="1"/>
  <c r="CR53" i="1" s="1"/>
  <c r="CQ37" i="1"/>
  <c r="CR37" i="1" s="1" a="1"/>
  <c r="CR37" i="1" s="1"/>
  <c r="CQ21" i="1"/>
  <c r="CR21" i="1" s="1" a="1"/>
  <c r="CR21" i="1" s="1"/>
  <c r="CQ5" i="1"/>
  <c r="CR5" i="1" s="1" a="1"/>
  <c r="CR5" i="1" s="1"/>
  <c r="CD200" i="1"/>
  <c r="CE200" i="1" s="1" a="1"/>
  <c r="CE200" i="1" s="1"/>
  <c r="CD136" i="1"/>
  <c r="CE136" i="1" s="1" a="1"/>
  <c r="CE136" i="1" s="1"/>
  <c r="CD56" i="1"/>
  <c r="CE56" i="1" s="1" a="1"/>
  <c r="CE56" i="1" s="1"/>
  <c r="CQ244" i="1"/>
  <c r="CR244" i="1" s="1" a="1"/>
  <c r="CR244" i="1" s="1"/>
  <c r="CQ228" i="1"/>
  <c r="CR228" i="1" s="1" a="1"/>
  <c r="CR228" i="1" s="1"/>
  <c r="CQ212" i="1"/>
  <c r="CR212" i="1" s="1" a="1"/>
  <c r="CR212" i="1" s="1"/>
  <c r="CQ196" i="1"/>
  <c r="CR196" i="1" s="1" a="1"/>
  <c r="CR196" i="1" s="1"/>
  <c r="CQ180" i="1"/>
  <c r="CR180" i="1" s="1" a="1"/>
  <c r="CR180" i="1" s="1"/>
  <c r="CQ164" i="1"/>
  <c r="CR164" i="1" s="1" a="1"/>
  <c r="CR164" i="1" s="1"/>
  <c r="CQ148" i="1"/>
  <c r="CR148" i="1" s="1" a="1"/>
  <c r="CR148" i="1" s="1"/>
  <c r="CQ132" i="1"/>
  <c r="CR132" i="1" s="1" a="1"/>
  <c r="CR132" i="1" s="1"/>
  <c r="CQ116" i="1"/>
  <c r="CR116" i="1" s="1" a="1"/>
  <c r="CR116" i="1" s="1"/>
  <c r="CQ100" i="1"/>
  <c r="CR100" i="1" s="1" a="1"/>
  <c r="CR100" i="1" s="1"/>
  <c r="CQ84" i="1"/>
  <c r="CR84" i="1" s="1" a="1"/>
  <c r="CR84" i="1" s="1"/>
  <c r="CQ68" i="1"/>
  <c r="CR68" i="1" s="1" a="1"/>
  <c r="CR68" i="1" s="1"/>
  <c r="CQ52" i="1"/>
  <c r="CR52" i="1" s="1" a="1"/>
  <c r="CR52" i="1" s="1"/>
  <c r="CQ36" i="1"/>
  <c r="CR36" i="1" s="1" a="1"/>
  <c r="CR36" i="1" s="1"/>
  <c r="CQ20" i="1"/>
  <c r="CR20" i="1" s="1" a="1"/>
  <c r="CR20" i="1" s="1"/>
  <c r="CQ4" i="1"/>
  <c r="CR4" i="1" s="1" a="1"/>
  <c r="CR4" i="1" s="1"/>
  <c r="CD196" i="1"/>
  <c r="CE196" i="1" s="1" a="1"/>
  <c r="CE196" i="1" s="1"/>
  <c r="CD132" i="1"/>
  <c r="CE132" i="1" s="1" a="1"/>
  <c r="CE132" i="1" s="1"/>
  <c r="CD42" i="1"/>
  <c r="CE42" i="1" s="1" a="1"/>
  <c r="CE42" i="1" s="1"/>
  <c r="CQ2" i="1"/>
  <c r="CR2" i="1" s="1" a="1"/>
  <c r="CR2" i="1" s="1"/>
  <c r="CQ243" i="1"/>
  <c r="CR243" i="1" s="1" a="1"/>
  <c r="CR243" i="1" s="1"/>
  <c r="CQ227" i="1"/>
  <c r="CR227" i="1" s="1" a="1"/>
  <c r="CR227" i="1" s="1"/>
  <c r="CQ211" i="1"/>
  <c r="CR211" i="1" s="1" a="1"/>
  <c r="CR211" i="1" s="1"/>
  <c r="CQ195" i="1"/>
  <c r="CR195" i="1" s="1" a="1"/>
  <c r="CR195" i="1" s="1"/>
  <c r="CQ179" i="1"/>
  <c r="CR179" i="1" s="1" a="1"/>
  <c r="CR179" i="1" s="1"/>
  <c r="CQ163" i="1"/>
  <c r="CR163" i="1" s="1" a="1"/>
  <c r="CR163" i="1" s="1"/>
  <c r="CQ147" i="1"/>
  <c r="CR147" i="1" s="1" a="1"/>
  <c r="CR147" i="1" s="1"/>
  <c r="CQ131" i="1"/>
  <c r="CR131" i="1" s="1" a="1"/>
  <c r="CR131" i="1" s="1"/>
  <c r="CQ115" i="1"/>
  <c r="CR115" i="1" s="1" a="1"/>
  <c r="CR115" i="1" s="1"/>
  <c r="CQ99" i="1"/>
  <c r="CR99" i="1" s="1" a="1"/>
  <c r="CR99" i="1" s="1"/>
  <c r="CQ83" i="1"/>
  <c r="CR83" i="1" s="1" a="1"/>
  <c r="CR83" i="1" s="1"/>
  <c r="CQ67" i="1"/>
  <c r="CR67" i="1" s="1" a="1"/>
  <c r="CR67" i="1" s="1"/>
  <c r="CQ51" i="1"/>
  <c r="CR51" i="1" s="1" a="1"/>
  <c r="CR51" i="1" s="1"/>
  <c r="CQ35" i="1"/>
  <c r="CR35" i="1" s="1" a="1"/>
  <c r="CR35" i="1" s="1"/>
  <c r="CQ19" i="1"/>
  <c r="CR19" i="1" s="1" a="1"/>
  <c r="CR19" i="1" s="1"/>
  <c r="CQ3" i="1"/>
  <c r="CR3" i="1" s="1" a="1"/>
  <c r="CR3" i="1" s="1"/>
  <c r="CD186" i="1"/>
  <c r="CE186" i="1" s="1" a="1"/>
  <c r="CE186" i="1" s="1"/>
  <c r="CD122" i="1"/>
  <c r="CE122" i="1" s="1" a="1"/>
  <c r="CE122" i="1" s="1"/>
  <c r="CD41" i="1"/>
  <c r="CE41" i="1" s="1" a="1"/>
  <c r="CE41" i="1" s="1"/>
  <c r="CQ242" i="1"/>
  <c r="CR242" i="1" s="1" a="1"/>
  <c r="CR242" i="1" s="1"/>
  <c r="CQ226" i="1"/>
  <c r="CR226" i="1" s="1" a="1"/>
  <c r="CR226" i="1" s="1"/>
  <c r="CQ210" i="1"/>
  <c r="CR210" i="1" s="1" a="1"/>
  <c r="CR210" i="1" s="1"/>
  <c r="CQ194" i="1"/>
  <c r="CR194" i="1" s="1" a="1"/>
  <c r="CR194" i="1" s="1"/>
  <c r="CQ178" i="1"/>
  <c r="CR178" i="1" s="1" a="1"/>
  <c r="CR178" i="1" s="1"/>
  <c r="CQ162" i="1"/>
  <c r="CR162" i="1" s="1" a="1"/>
  <c r="CR162" i="1" s="1"/>
  <c r="CQ146" i="1"/>
  <c r="CR146" i="1" s="1" a="1"/>
  <c r="CR146" i="1" s="1"/>
  <c r="CQ130" i="1"/>
  <c r="CR130" i="1" s="1" a="1"/>
  <c r="CR130" i="1" s="1"/>
  <c r="CQ114" i="1"/>
  <c r="CR114" i="1" s="1" a="1"/>
  <c r="CR114" i="1" s="1"/>
  <c r="CQ98" i="1"/>
  <c r="CR98" i="1" s="1" a="1"/>
  <c r="CR98" i="1" s="1"/>
  <c r="CQ82" i="1"/>
  <c r="CR82" i="1" s="1" a="1"/>
  <c r="CR82" i="1" s="1"/>
  <c r="CQ66" i="1"/>
  <c r="CR66" i="1" s="1" a="1"/>
  <c r="CR66" i="1" s="1"/>
  <c r="CQ50" i="1"/>
  <c r="CR50" i="1" s="1" a="1"/>
  <c r="CR50" i="1" s="1"/>
  <c r="CQ34" i="1"/>
  <c r="CR34" i="1" s="1" a="1"/>
  <c r="CR34" i="1" s="1"/>
  <c r="CQ18" i="1"/>
  <c r="CR18" i="1" s="1" a="1"/>
  <c r="CR18" i="1" s="1"/>
  <c r="CD185" i="1"/>
  <c r="CE185" i="1" s="1" a="1"/>
  <c r="CE185" i="1" s="1"/>
  <c r="CD121" i="1"/>
  <c r="CE121" i="1" s="1" a="1"/>
  <c r="CE121" i="1" s="1"/>
  <c r="CD40" i="1"/>
  <c r="CE40" i="1" s="1" a="1"/>
  <c r="CE40" i="1" s="1"/>
  <c r="CQ241" i="1"/>
  <c r="CR241" i="1" s="1" a="1"/>
  <c r="CR241" i="1" s="1"/>
  <c r="CQ225" i="1"/>
  <c r="CR225" i="1" s="1" a="1"/>
  <c r="CR225" i="1" s="1"/>
  <c r="CQ209" i="1"/>
  <c r="CR209" i="1" s="1" a="1"/>
  <c r="CR209" i="1" s="1"/>
  <c r="CQ193" i="1"/>
  <c r="CR193" i="1" s="1" a="1"/>
  <c r="CR193" i="1" s="1"/>
  <c r="CQ177" i="1"/>
  <c r="CR177" i="1" s="1" a="1"/>
  <c r="CR177" i="1" s="1"/>
  <c r="CQ161" i="1"/>
  <c r="CR161" i="1" s="1" a="1"/>
  <c r="CR161" i="1" s="1"/>
  <c r="CQ145" i="1"/>
  <c r="CR145" i="1" s="1" a="1"/>
  <c r="CR145" i="1" s="1"/>
  <c r="CQ129" i="1"/>
  <c r="CR129" i="1" s="1" a="1"/>
  <c r="CR129" i="1" s="1"/>
  <c r="CQ113" i="1"/>
  <c r="CR113" i="1" s="1" a="1"/>
  <c r="CR113" i="1" s="1"/>
  <c r="CQ97" i="1"/>
  <c r="CR97" i="1" s="1" a="1"/>
  <c r="CR97" i="1" s="1"/>
  <c r="CQ81" i="1"/>
  <c r="CR81" i="1" s="1" a="1"/>
  <c r="CR81" i="1" s="1"/>
  <c r="CQ65" i="1"/>
  <c r="CR65" i="1" s="1" a="1"/>
  <c r="CR65" i="1" s="1"/>
  <c r="CQ49" i="1"/>
  <c r="CR49" i="1" s="1" a="1"/>
  <c r="CR49" i="1" s="1"/>
  <c r="CQ33" i="1"/>
  <c r="CR33" i="1" s="1" a="1"/>
  <c r="CR33" i="1" s="1"/>
  <c r="CQ17" i="1"/>
  <c r="CR17" i="1" s="1" a="1"/>
  <c r="CR17" i="1" s="1"/>
  <c r="CD184" i="1"/>
  <c r="CE184" i="1" s="1" a="1"/>
  <c r="CE184" i="1" s="1"/>
  <c r="CD120" i="1"/>
  <c r="CE120" i="1" s="1" a="1"/>
  <c r="CE120" i="1" s="1"/>
  <c r="CD26" i="1"/>
  <c r="CE26" i="1" s="1" a="1"/>
  <c r="CE26" i="1" s="1"/>
  <c r="CQ240" i="1"/>
  <c r="CR240" i="1" s="1" a="1"/>
  <c r="CR240" i="1" s="1"/>
  <c r="CQ224" i="1"/>
  <c r="CR224" i="1" s="1" a="1"/>
  <c r="CR224" i="1" s="1"/>
  <c r="CQ208" i="1"/>
  <c r="CR208" i="1" s="1" a="1"/>
  <c r="CR208" i="1" s="1"/>
  <c r="CQ192" i="1"/>
  <c r="CR192" i="1" s="1" a="1"/>
  <c r="CR192" i="1" s="1"/>
  <c r="CQ176" i="1"/>
  <c r="CR176" i="1" s="1" a="1"/>
  <c r="CR176" i="1" s="1"/>
  <c r="CQ160" i="1"/>
  <c r="CR160" i="1" s="1" a="1"/>
  <c r="CR160" i="1" s="1"/>
  <c r="CQ144" i="1"/>
  <c r="CR144" i="1" s="1" a="1"/>
  <c r="CR144" i="1" s="1"/>
  <c r="CQ128" i="1"/>
  <c r="CR128" i="1" s="1" a="1"/>
  <c r="CR128" i="1" s="1"/>
  <c r="CQ112" i="1"/>
  <c r="CR112" i="1" s="1" a="1"/>
  <c r="CR112" i="1" s="1"/>
  <c r="CQ96" i="1"/>
  <c r="CR96" i="1" s="1" a="1"/>
  <c r="CR96" i="1" s="1"/>
  <c r="CQ80" i="1"/>
  <c r="CR80" i="1" s="1" a="1"/>
  <c r="CR80" i="1" s="1"/>
  <c r="CQ64" i="1"/>
  <c r="CR64" i="1" s="1" a="1"/>
  <c r="CR64" i="1" s="1"/>
  <c r="CQ48" i="1"/>
  <c r="CR48" i="1" s="1" a="1"/>
  <c r="CR48" i="1" s="1"/>
  <c r="CQ32" i="1"/>
  <c r="CR32" i="1" s="1" a="1"/>
  <c r="CR32" i="1" s="1"/>
  <c r="CQ16" i="1"/>
  <c r="CR16" i="1" s="1" a="1"/>
  <c r="CR16" i="1" s="1"/>
  <c r="CD244" i="1"/>
  <c r="CE244" i="1" s="1" a="1"/>
  <c r="CE244" i="1" s="1"/>
  <c r="CD180" i="1"/>
  <c r="CE180" i="1" s="1" a="1"/>
  <c r="CE180" i="1" s="1"/>
  <c r="CD106" i="1"/>
  <c r="CE106" i="1" s="1" a="1"/>
  <c r="CE106" i="1" s="1"/>
  <c r="CD25" i="1"/>
  <c r="CE25" i="1" s="1" a="1"/>
  <c r="CE25" i="1" s="1"/>
  <c r="CQ239" i="1"/>
  <c r="CR239" i="1" s="1" a="1"/>
  <c r="CR239" i="1" s="1"/>
  <c r="CQ223" i="1"/>
  <c r="CR223" i="1" s="1" a="1"/>
  <c r="CR223" i="1" s="1"/>
  <c r="CQ207" i="1"/>
  <c r="CR207" i="1" s="1" a="1"/>
  <c r="CR207" i="1" s="1"/>
  <c r="CQ191" i="1"/>
  <c r="CR191" i="1" s="1" a="1"/>
  <c r="CR191" i="1" s="1"/>
  <c r="CQ175" i="1"/>
  <c r="CR175" i="1" s="1" a="1"/>
  <c r="CR175" i="1" s="1"/>
  <c r="CQ159" i="1"/>
  <c r="CR159" i="1" s="1" a="1"/>
  <c r="CR159" i="1" s="1"/>
  <c r="CQ143" i="1"/>
  <c r="CR143" i="1" s="1" a="1"/>
  <c r="CR143" i="1" s="1"/>
  <c r="CQ127" i="1"/>
  <c r="CR127" i="1" s="1" a="1"/>
  <c r="CR127" i="1" s="1"/>
  <c r="CQ111" i="1"/>
  <c r="CR111" i="1" s="1" a="1"/>
  <c r="CR111" i="1" s="1"/>
  <c r="CQ95" i="1"/>
  <c r="CR95" i="1" s="1" a="1"/>
  <c r="CR95" i="1" s="1"/>
  <c r="CQ79" i="1"/>
  <c r="CR79" i="1" s="1" a="1"/>
  <c r="CR79" i="1" s="1"/>
  <c r="CQ63" i="1"/>
  <c r="CR63" i="1" s="1" a="1"/>
  <c r="CR63" i="1" s="1"/>
  <c r="CQ47" i="1"/>
  <c r="CR47" i="1" s="1" a="1"/>
  <c r="CR47" i="1" s="1"/>
  <c r="CQ31" i="1"/>
  <c r="CR31" i="1" s="1" a="1"/>
  <c r="CR31" i="1" s="1"/>
  <c r="BQ181" i="1"/>
  <c r="BR181" i="1" s="1" a="1"/>
  <c r="BR181" i="1" s="1"/>
  <c r="CD247" i="1"/>
  <c r="CE247" i="1" s="1" a="1"/>
  <c r="CE247" i="1" s="1"/>
  <c r="CD231" i="1"/>
  <c r="CE231" i="1" s="1" a="1"/>
  <c r="CE231" i="1" s="1"/>
  <c r="CD215" i="1"/>
  <c r="CE215" i="1" s="1" a="1"/>
  <c r="CE215" i="1" s="1"/>
  <c r="CD199" i="1"/>
  <c r="CE199" i="1" s="1" a="1"/>
  <c r="CE199" i="1" s="1"/>
  <c r="CD183" i="1"/>
  <c r="CE183" i="1" s="1" a="1"/>
  <c r="CE183" i="1" s="1"/>
  <c r="CD167" i="1"/>
  <c r="CE167" i="1" s="1" a="1"/>
  <c r="CE167" i="1" s="1"/>
  <c r="CD151" i="1"/>
  <c r="CE151" i="1" s="1" a="1"/>
  <c r="CE151" i="1" s="1"/>
  <c r="CD135" i="1"/>
  <c r="CE135" i="1" s="1" a="1"/>
  <c r="CE135" i="1" s="1"/>
  <c r="CD119" i="1"/>
  <c r="CE119" i="1" s="1" a="1"/>
  <c r="CE119" i="1" s="1"/>
  <c r="CD103" i="1"/>
  <c r="CE103" i="1" s="1" a="1"/>
  <c r="CE103" i="1" s="1"/>
  <c r="CD87" i="1"/>
  <c r="CE87" i="1" s="1" a="1"/>
  <c r="CE87" i="1" s="1"/>
  <c r="CD71" i="1"/>
  <c r="CE71" i="1" s="1" a="1"/>
  <c r="CE71" i="1" s="1"/>
  <c r="CD55" i="1"/>
  <c r="CE55" i="1" s="1" a="1"/>
  <c r="CE55" i="1" s="1"/>
  <c r="CD39" i="1"/>
  <c r="CE39" i="1" s="1" a="1"/>
  <c r="CE39" i="1" s="1"/>
  <c r="CD23" i="1"/>
  <c r="CE23" i="1" s="1" a="1"/>
  <c r="CE23" i="1" s="1"/>
  <c r="CD7" i="1"/>
  <c r="CE7" i="1" s="1" a="1"/>
  <c r="CE7" i="1" s="1"/>
  <c r="BQ85" i="1"/>
  <c r="BR85" i="1" s="1" a="1"/>
  <c r="BR85" i="1" s="1"/>
  <c r="CD246" i="1"/>
  <c r="CE246" i="1" s="1" a="1"/>
  <c r="CE246" i="1" s="1"/>
  <c r="CD230" i="1"/>
  <c r="CE230" i="1" s="1" a="1"/>
  <c r="CE230" i="1" s="1"/>
  <c r="CD214" i="1"/>
  <c r="CE214" i="1" s="1" a="1"/>
  <c r="CE214" i="1" s="1"/>
  <c r="CD198" i="1"/>
  <c r="CE198" i="1" s="1" a="1"/>
  <c r="CE198" i="1" s="1"/>
  <c r="CD182" i="1"/>
  <c r="CE182" i="1" s="1" a="1"/>
  <c r="CE182" i="1" s="1"/>
  <c r="CD166" i="1"/>
  <c r="CE166" i="1" s="1" a="1"/>
  <c r="CE166" i="1" s="1"/>
  <c r="CD150" i="1"/>
  <c r="CE150" i="1" s="1" a="1"/>
  <c r="CE150" i="1" s="1"/>
  <c r="CD134" i="1"/>
  <c r="CE134" i="1" s="1" a="1"/>
  <c r="CE134" i="1" s="1"/>
  <c r="CD118" i="1"/>
  <c r="CE118" i="1" s="1" a="1"/>
  <c r="CE118" i="1" s="1"/>
  <c r="CD102" i="1"/>
  <c r="CE102" i="1" s="1" a="1"/>
  <c r="CE102" i="1" s="1"/>
  <c r="CD86" i="1"/>
  <c r="CE86" i="1" s="1" a="1"/>
  <c r="CE86" i="1" s="1"/>
  <c r="CD70" i="1"/>
  <c r="CE70" i="1" s="1" a="1"/>
  <c r="CE70" i="1" s="1"/>
  <c r="CD54" i="1"/>
  <c r="CE54" i="1" s="1" a="1"/>
  <c r="CE54" i="1" s="1"/>
  <c r="CD38" i="1"/>
  <c r="CE38" i="1" s="1" a="1"/>
  <c r="CE38" i="1" s="1"/>
  <c r="CD22" i="1"/>
  <c r="CE22" i="1" s="1" a="1"/>
  <c r="CE22" i="1" s="1"/>
  <c r="CD6" i="1"/>
  <c r="CE6" i="1" s="1" a="1"/>
  <c r="CE6" i="1" s="1"/>
  <c r="BQ83" i="1"/>
  <c r="BR83" i="1" s="1" a="1"/>
  <c r="BR83" i="1" s="1"/>
  <c r="CD245" i="1"/>
  <c r="CE245" i="1" s="1" a="1"/>
  <c r="CE245" i="1" s="1"/>
  <c r="CD229" i="1"/>
  <c r="CE229" i="1" s="1" a="1"/>
  <c r="CE229" i="1" s="1"/>
  <c r="CD213" i="1"/>
  <c r="CE213" i="1" s="1" a="1"/>
  <c r="CE213" i="1" s="1"/>
  <c r="CD197" i="1"/>
  <c r="CE197" i="1" s="1" a="1"/>
  <c r="CE197" i="1" s="1"/>
  <c r="CD181" i="1"/>
  <c r="CE181" i="1" s="1" a="1"/>
  <c r="CE181" i="1" s="1"/>
  <c r="CD165" i="1"/>
  <c r="CE165" i="1" s="1" a="1"/>
  <c r="CE165" i="1" s="1"/>
  <c r="CD149" i="1"/>
  <c r="CE149" i="1" s="1" a="1"/>
  <c r="CE149" i="1" s="1"/>
  <c r="CD133" i="1"/>
  <c r="CE133" i="1" s="1" a="1"/>
  <c r="CE133" i="1" s="1"/>
  <c r="CD117" i="1"/>
  <c r="CE117" i="1" s="1" a="1"/>
  <c r="CE117" i="1" s="1"/>
  <c r="CD101" i="1"/>
  <c r="CE101" i="1" s="1" a="1"/>
  <c r="CE101" i="1" s="1"/>
  <c r="CD85" i="1"/>
  <c r="CE85" i="1" s="1" a="1"/>
  <c r="CE85" i="1" s="1"/>
  <c r="CD69" i="1"/>
  <c r="CE69" i="1" s="1" a="1"/>
  <c r="CE69" i="1" s="1"/>
  <c r="CD53" i="1"/>
  <c r="CE53" i="1" s="1" a="1"/>
  <c r="CE53" i="1" s="1"/>
  <c r="CD37" i="1"/>
  <c r="CE37" i="1" s="1" a="1"/>
  <c r="CE37" i="1" s="1"/>
  <c r="CD21" i="1"/>
  <c r="CE21" i="1" s="1" a="1"/>
  <c r="CE21" i="1" s="1"/>
  <c r="CD5" i="1"/>
  <c r="CE5" i="1" s="1" a="1"/>
  <c r="CE5" i="1" s="1"/>
  <c r="CD116" i="1"/>
  <c r="CE116" i="1" s="1" a="1"/>
  <c r="CE116" i="1" s="1"/>
  <c r="CD100" i="1"/>
  <c r="CE100" i="1" s="1" a="1"/>
  <c r="CE100" i="1" s="1"/>
  <c r="CD84" i="1"/>
  <c r="CE84" i="1" s="1" a="1"/>
  <c r="CE84" i="1" s="1"/>
  <c r="CD68" i="1"/>
  <c r="CE68" i="1" s="1" a="1"/>
  <c r="CE68" i="1" s="1"/>
  <c r="CD52" i="1"/>
  <c r="CE52" i="1" s="1" a="1"/>
  <c r="CE52" i="1" s="1"/>
  <c r="CD36" i="1"/>
  <c r="CE36" i="1" s="1" a="1"/>
  <c r="CE36" i="1" s="1"/>
  <c r="CD20" i="1"/>
  <c r="CE20" i="1" s="1" a="1"/>
  <c r="CE20" i="1" s="1"/>
  <c r="CD4" i="1"/>
  <c r="CE4" i="1" s="1" a="1"/>
  <c r="CE4" i="1" s="1"/>
  <c r="BQ67" i="1"/>
  <c r="BR67" i="1" s="1" a="1"/>
  <c r="BR67" i="1" s="1"/>
  <c r="CD243" i="1"/>
  <c r="CE243" i="1" s="1" a="1"/>
  <c r="CE243" i="1" s="1"/>
  <c r="CD227" i="1"/>
  <c r="CE227" i="1" s="1" a="1"/>
  <c r="CE227" i="1" s="1"/>
  <c r="CD211" i="1"/>
  <c r="CE211" i="1" s="1" a="1"/>
  <c r="CE211" i="1" s="1"/>
  <c r="CD195" i="1"/>
  <c r="CE195" i="1" s="1" a="1"/>
  <c r="CE195" i="1" s="1"/>
  <c r="CD179" i="1"/>
  <c r="CE179" i="1" s="1" a="1"/>
  <c r="CE179" i="1" s="1"/>
  <c r="CD163" i="1"/>
  <c r="CE163" i="1" s="1" a="1"/>
  <c r="CE163" i="1" s="1"/>
  <c r="CD147" i="1"/>
  <c r="CE147" i="1" s="1" a="1"/>
  <c r="CE147" i="1" s="1"/>
  <c r="CD131" i="1"/>
  <c r="CE131" i="1" s="1" a="1"/>
  <c r="CE131" i="1" s="1"/>
  <c r="CD115" i="1"/>
  <c r="CE115" i="1" s="1" a="1"/>
  <c r="CE115" i="1" s="1"/>
  <c r="CD99" i="1"/>
  <c r="CE99" i="1" s="1" a="1"/>
  <c r="CE99" i="1" s="1"/>
  <c r="CD83" i="1"/>
  <c r="CE83" i="1" s="1" a="1"/>
  <c r="CE83" i="1" s="1"/>
  <c r="CD67" i="1"/>
  <c r="CE67" i="1" s="1" a="1"/>
  <c r="CE67" i="1" s="1"/>
  <c r="CD51" i="1"/>
  <c r="CE51" i="1" s="1" a="1"/>
  <c r="CE51" i="1" s="1"/>
  <c r="CD35" i="1"/>
  <c r="CE35" i="1" s="1" a="1"/>
  <c r="CE35" i="1" s="1"/>
  <c r="CD19" i="1"/>
  <c r="CE19" i="1" s="1" a="1"/>
  <c r="CE19" i="1" s="1"/>
  <c r="CD3" i="1"/>
  <c r="CE3" i="1" s="1" a="1"/>
  <c r="CE3" i="1" s="1"/>
  <c r="BQ131" i="1"/>
  <c r="BR131" i="1" s="1" a="1"/>
  <c r="BR131" i="1" s="1"/>
  <c r="CD242" i="1"/>
  <c r="CE242" i="1" s="1" a="1"/>
  <c r="CE242" i="1" s="1"/>
  <c r="CD226" i="1"/>
  <c r="CE226" i="1" s="1" a="1"/>
  <c r="CE226" i="1" s="1"/>
  <c r="CD210" i="1"/>
  <c r="CE210" i="1" s="1" a="1"/>
  <c r="CE210" i="1" s="1"/>
  <c r="CD194" i="1"/>
  <c r="CE194" i="1" s="1" a="1"/>
  <c r="CE194" i="1" s="1"/>
  <c r="CD178" i="1"/>
  <c r="CE178" i="1" s="1" a="1"/>
  <c r="CE178" i="1" s="1"/>
  <c r="CD162" i="1"/>
  <c r="CE162" i="1" s="1" a="1"/>
  <c r="CE162" i="1" s="1"/>
  <c r="CD146" i="1"/>
  <c r="CE146" i="1" s="1" a="1"/>
  <c r="CE146" i="1" s="1"/>
  <c r="CD130" i="1"/>
  <c r="CE130" i="1" s="1" a="1"/>
  <c r="CE130" i="1" s="1"/>
  <c r="CD114" i="1"/>
  <c r="CE114" i="1" s="1" a="1"/>
  <c r="CE114" i="1" s="1"/>
  <c r="CD98" i="1"/>
  <c r="CE98" i="1" s="1" a="1"/>
  <c r="CE98" i="1" s="1"/>
  <c r="CD82" i="1"/>
  <c r="CE82" i="1" s="1" a="1"/>
  <c r="CE82" i="1" s="1"/>
  <c r="CD66" i="1"/>
  <c r="CE66" i="1" s="1" a="1"/>
  <c r="CE66" i="1" s="1"/>
  <c r="CD50" i="1"/>
  <c r="CE50" i="1" s="1" a="1"/>
  <c r="CE50" i="1" s="1"/>
  <c r="CD34" i="1"/>
  <c r="CE34" i="1" s="1" a="1"/>
  <c r="CE34" i="1" s="1"/>
  <c r="CD18" i="1"/>
  <c r="CE18" i="1" s="1" a="1"/>
  <c r="CE18" i="1" s="1"/>
  <c r="CD241" i="1"/>
  <c r="CE241" i="1" s="1" a="1"/>
  <c r="CE241" i="1" s="1"/>
  <c r="CD225" i="1"/>
  <c r="CE225" i="1" s="1" a="1"/>
  <c r="CE225" i="1" s="1"/>
  <c r="CD209" i="1"/>
  <c r="CE209" i="1" s="1" a="1"/>
  <c r="CE209" i="1" s="1"/>
  <c r="CD193" i="1"/>
  <c r="CE193" i="1" s="1" a="1"/>
  <c r="CE193" i="1" s="1"/>
  <c r="CD177" i="1"/>
  <c r="CE177" i="1" s="1" a="1"/>
  <c r="CE177" i="1" s="1"/>
  <c r="CD161" i="1"/>
  <c r="CE161" i="1" s="1" a="1"/>
  <c r="CE161" i="1" s="1"/>
  <c r="CD145" i="1"/>
  <c r="CE145" i="1" s="1" a="1"/>
  <c r="CE145" i="1" s="1"/>
  <c r="CD129" i="1"/>
  <c r="CE129" i="1" s="1" a="1"/>
  <c r="CE129" i="1" s="1"/>
  <c r="CD113" i="1"/>
  <c r="CE113" i="1" s="1" a="1"/>
  <c r="CE113" i="1" s="1"/>
  <c r="CD97" i="1"/>
  <c r="CE97" i="1" s="1" a="1"/>
  <c r="CE97" i="1" s="1"/>
  <c r="CD81" i="1"/>
  <c r="CE81" i="1" s="1" a="1"/>
  <c r="CE81" i="1" s="1"/>
  <c r="CD65" i="1"/>
  <c r="CE65" i="1" s="1" a="1"/>
  <c r="CE65" i="1" s="1"/>
  <c r="CD49" i="1"/>
  <c r="CE49" i="1" s="1" a="1"/>
  <c r="CE49" i="1" s="1"/>
  <c r="CD33" i="1"/>
  <c r="CE33" i="1" s="1" a="1"/>
  <c r="CE33" i="1" s="1"/>
  <c r="CD17" i="1"/>
  <c r="CE17" i="1" s="1" a="1"/>
  <c r="CE17" i="1" s="1"/>
  <c r="CD240" i="1"/>
  <c r="CE240" i="1" s="1" a="1"/>
  <c r="CE240" i="1" s="1"/>
  <c r="CD224" i="1"/>
  <c r="CE224" i="1" s="1" a="1"/>
  <c r="CE224" i="1" s="1"/>
  <c r="CD208" i="1"/>
  <c r="CE208" i="1" s="1" a="1"/>
  <c r="CE208" i="1" s="1"/>
  <c r="CD192" i="1"/>
  <c r="CE192" i="1" s="1" a="1"/>
  <c r="CE192" i="1" s="1"/>
  <c r="CD176" i="1"/>
  <c r="CE176" i="1" s="1" a="1"/>
  <c r="CE176" i="1" s="1"/>
  <c r="CD160" i="1"/>
  <c r="CE160" i="1" s="1" a="1"/>
  <c r="CE160" i="1" s="1"/>
  <c r="CD144" i="1"/>
  <c r="CE144" i="1" s="1" a="1"/>
  <c r="CE144" i="1" s="1"/>
  <c r="CD128" i="1"/>
  <c r="CE128" i="1" s="1" a="1"/>
  <c r="CE128" i="1" s="1"/>
  <c r="CD112" i="1"/>
  <c r="CE112" i="1" s="1" a="1"/>
  <c r="CE112" i="1" s="1"/>
  <c r="CD96" i="1"/>
  <c r="CE96" i="1" s="1" a="1"/>
  <c r="CE96" i="1" s="1"/>
  <c r="CD80" i="1"/>
  <c r="CE80" i="1" s="1" a="1"/>
  <c r="CE80" i="1" s="1"/>
  <c r="CD64" i="1"/>
  <c r="CE64" i="1" s="1" a="1"/>
  <c r="CE64" i="1" s="1"/>
  <c r="CD48" i="1"/>
  <c r="CE48" i="1" s="1" a="1"/>
  <c r="CE48" i="1" s="1"/>
  <c r="CD32" i="1"/>
  <c r="CE32" i="1" s="1" a="1"/>
  <c r="CE32" i="1" s="1"/>
  <c r="CD16" i="1"/>
  <c r="CE16" i="1" s="1" a="1"/>
  <c r="CE16" i="1" s="1"/>
  <c r="CD239" i="1"/>
  <c r="CE239" i="1" s="1" a="1"/>
  <c r="CE239" i="1" s="1"/>
  <c r="CD223" i="1"/>
  <c r="CE223" i="1" s="1" a="1"/>
  <c r="CE223" i="1" s="1"/>
  <c r="CD207" i="1"/>
  <c r="CE207" i="1" s="1" a="1"/>
  <c r="CE207" i="1" s="1"/>
  <c r="CD191" i="1"/>
  <c r="CE191" i="1" s="1" a="1"/>
  <c r="CE191" i="1" s="1"/>
  <c r="CD175" i="1"/>
  <c r="CE175" i="1" s="1" a="1"/>
  <c r="CE175" i="1" s="1"/>
  <c r="CD159" i="1"/>
  <c r="CE159" i="1" s="1" a="1"/>
  <c r="CE159" i="1" s="1"/>
  <c r="CD143" i="1"/>
  <c r="CE143" i="1" s="1" a="1"/>
  <c r="CE143" i="1" s="1"/>
  <c r="CD127" i="1"/>
  <c r="CE127" i="1" s="1" a="1"/>
  <c r="CE127" i="1" s="1"/>
  <c r="CD111" i="1"/>
  <c r="CE111" i="1" s="1" a="1"/>
  <c r="CE111" i="1" s="1"/>
  <c r="CD95" i="1"/>
  <c r="CE95" i="1" s="1" a="1"/>
  <c r="CE95" i="1" s="1"/>
  <c r="CD79" i="1"/>
  <c r="CE79" i="1" s="1" a="1"/>
  <c r="CE79" i="1" s="1"/>
  <c r="CD63" i="1"/>
  <c r="CE63" i="1" s="1" a="1"/>
  <c r="CE63" i="1" s="1"/>
  <c r="CD47" i="1"/>
  <c r="CE47" i="1" s="1" a="1"/>
  <c r="CE47" i="1" s="1"/>
  <c r="CD31" i="1"/>
  <c r="CE31" i="1" s="1" a="1"/>
  <c r="CE31" i="1" s="1"/>
  <c r="CD15" i="1"/>
  <c r="CE15" i="1" s="1" a="1"/>
  <c r="CE15" i="1" s="1"/>
  <c r="CD238" i="1"/>
  <c r="CE238" i="1" s="1" a="1"/>
  <c r="CE238" i="1" s="1"/>
  <c r="CD222" i="1"/>
  <c r="CE222" i="1" s="1" a="1"/>
  <c r="CE222" i="1" s="1"/>
  <c r="CD206" i="1"/>
  <c r="CE206" i="1" s="1" a="1"/>
  <c r="CE206" i="1" s="1"/>
  <c r="CD190" i="1"/>
  <c r="CE190" i="1" s="1" a="1"/>
  <c r="CE190" i="1" s="1"/>
  <c r="CD174" i="1"/>
  <c r="CE174" i="1" s="1" a="1"/>
  <c r="CE174" i="1" s="1"/>
  <c r="CD158" i="1"/>
  <c r="CE158" i="1" s="1" a="1"/>
  <c r="CE158" i="1" s="1"/>
  <c r="CD142" i="1"/>
  <c r="CE142" i="1" s="1" a="1"/>
  <c r="CE142" i="1" s="1"/>
  <c r="CD126" i="1"/>
  <c r="CE126" i="1" s="1" a="1"/>
  <c r="CE126" i="1" s="1"/>
  <c r="CD110" i="1"/>
  <c r="CE110" i="1" s="1" a="1"/>
  <c r="CE110" i="1" s="1"/>
  <c r="CD94" i="1"/>
  <c r="CE94" i="1" s="1" a="1"/>
  <c r="CE94" i="1" s="1"/>
  <c r="CD78" i="1"/>
  <c r="CE78" i="1" s="1" a="1"/>
  <c r="CE78" i="1" s="1"/>
  <c r="CD62" i="1"/>
  <c r="CE62" i="1" s="1" a="1"/>
  <c r="CE62" i="1" s="1"/>
  <c r="CD46" i="1"/>
  <c r="CE46" i="1" s="1" a="1"/>
  <c r="CE46" i="1" s="1"/>
  <c r="CD30" i="1"/>
  <c r="CE30" i="1" s="1" a="1"/>
  <c r="CE30" i="1" s="1"/>
  <c r="CD14" i="1"/>
  <c r="CE14" i="1" s="1" a="1"/>
  <c r="CE14" i="1" s="1"/>
  <c r="CD2" i="1"/>
  <c r="CE2" i="1" s="1" a="1"/>
  <c r="CE2" i="1" s="1"/>
  <c r="CD237" i="1"/>
  <c r="CE237" i="1" s="1" a="1"/>
  <c r="CE237" i="1" s="1"/>
  <c r="CD221" i="1"/>
  <c r="CE221" i="1" s="1" a="1"/>
  <c r="CE221" i="1" s="1"/>
  <c r="CD205" i="1"/>
  <c r="CE205" i="1" s="1" a="1"/>
  <c r="CE205" i="1" s="1"/>
  <c r="CD189" i="1"/>
  <c r="CE189" i="1" s="1" a="1"/>
  <c r="CE189" i="1" s="1"/>
  <c r="CD173" i="1"/>
  <c r="CE173" i="1" s="1" a="1"/>
  <c r="CE173" i="1" s="1"/>
  <c r="CD157" i="1"/>
  <c r="CE157" i="1" s="1" a="1"/>
  <c r="CE157" i="1" s="1"/>
  <c r="CD141" i="1"/>
  <c r="CE141" i="1" s="1" a="1"/>
  <c r="CE141" i="1" s="1"/>
  <c r="CD125" i="1"/>
  <c r="CE125" i="1" s="1" a="1"/>
  <c r="CE125" i="1" s="1"/>
  <c r="CD109" i="1"/>
  <c r="CE109" i="1" s="1" a="1"/>
  <c r="CE109" i="1" s="1"/>
  <c r="CD93" i="1"/>
  <c r="CE93" i="1" s="1" a="1"/>
  <c r="CE93" i="1" s="1"/>
  <c r="CD77" i="1"/>
  <c r="CE77" i="1" s="1" a="1"/>
  <c r="CE77" i="1" s="1"/>
  <c r="CD61" i="1"/>
  <c r="CE61" i="1" s="1" a="1"/>
  <c r="CE61" i="1" s="1"/>
  <c r="CD45" i="1"/>
  <c r="CE45" i="1" s="1" a="1"/>
  <c r="CE45" i="1" s="1"/>
  <c r="CD29" i="1"/>
  <c r="CE29" i="1" s="1" a="1"/>
  <c r="CE29" i="1" s="1"/>
  <c r="CD13" i="1"/>
  <c r="CE13" i="1" s="1" a="1"/>
  <c r="CE13" i="1" s="1"/>
  <c r="CD236" i="1"/>
  <c r="CE236" i="1" s="1" a="1"/>
  <c r="CE236" i="1" s="1"/>
  <c r="CD220" i="1"/>
  <c r="CE220" i="1" s="1" a="1"/>
  <c r="CE220" i="1" s="1"/>
  <c r="CD204" i="1"/>
  <c r="CE204" i="1" s="1" a="1"/>
  <c r="CE204" i="1" s="1"/>
  <c r="CD188" i="1"/>
  <c r="CE188" i="1" s="1" a="1"/>
  <c r="CE188" i="1" s="1"/>
  <c r="CD172" i="1"/>
  <c r="CE172" i="1" s="1" a="1"/>
  <c r="CE172" i="1" s="1"/>
  <c r="CD156" i="1"/>
  <c r="CE156" i="1" s="1" a="1"/>
  <c r="CE156" i="1" s="1"/>
  <c r="CD140" i="1"/>
  <c r="CE140" i="1" s="1" a="1"/>
  <c r="CE140" i="1" s="1"/>
  <c r="CD124" i="1"/>
  <c r="CE124" i="1" s="1" a="1"/>
  <c r="CE124" i="1" s="1"/>
  <c r="CD108" i="1"/>
  <c r="CE108" i="1" s="1" a="1"/>
  <c r="CE108" i="1" s="1"/>
  <c r="CD92" i="1"/>
  <c r="CE92" i="1" s="1" a="1"/>
  <c r="CE92" i="1" s="1"/>
  <c r="CD76" i="1"/>
  <c r="CE76" i="1" s="1" a="1"/>
  <c r="CE76" i="1" s="1"/>
  <c r="CD60" i="1"/>
  <c r="CE60" i="1" s="1" a="1"/>
  <c r="CE60" i="1" s="1"/>
  <c r="CD44" i="1"/>
  <c r="CE44" i="1" s="1" a="1"/>
  <c r="CE44" i="1" s="1"/>
  <c r="CD28" i="1"/>
  <c r="CE28" i="1" s="1" a="1"/>
  <c r="CE28" i="1" s="1"/>
  <c r="CD12" i="1"/>
  <c r="CE12" i="1" s="1" a="1"/>
  <c r="CE12" i="1" s="1"/>
  <c r="CT3" i="1"/>
  <c r="BH3" i="1"/>
  <c r="BQ213" i="1"/>
  <c r="BR213" i="1" s="1" a="1"/>
  <c r="BR213" i="1" s="1"/>
  <c r="CD235" i="1"/>
  <c r="CE235" i="1" s="1" a="1"/>
  <c r="CE235" i="1" s="1"/>
  <c r="CD219" i="1"/>
  <c r="CE219" i="1" s="1" a="1"/>
  <c r="CE219" i="1" s="1"/>
  <c r="CD203" i="1"/>
  <c r="CE203" i="1" s="1" a="1"/>
  <c r="CE203" i="1" s="1"/>
  <c r="CD187" i="1"/>
  <c r="CE187" i="1" s="1" a="1"/>
  <c r="CE187" i="1" s="1"/>
  <c r="CD171" i="1"/>
  <c r="CE171" i="1" s="1" a="1"/>
  <c r="CE171" i="1" s="1"/>
  <c r="CD155" i="1"/>
  <c r="CE155" i="1" s="1" a="1"/>
  <c r="CE155" i="1" s="1"/>
  <c r="CD139" i="1"/>
  <c r="CE139" i="1" s="1" a="1"/>
  <c r="CE139" i="1" s="1"/>
  <c r="CD123" i="1"/>
  <c r="CE123" i="1" s="1" a="1"/>
  <c r="CE123" i="1" s="1"/>
  <c r="CD107" i="1"/>
  <c r="CE107" i="1" s="1" a="1"/>
  <c r="CE107" i="1" s="1"/>
  <c r="CD91" i="1"/>
  <c r="CE91" i="1" s="1" a="1"/>
  <c r="CE91" i="1" s="1"/>
  <c r="CD75" i="1"/>
  <c r="CE75" i="1" s="1" a="1"/>
  <c r="CE75" i="1" s="1"/>
  <c r="CD59" i="1"/>
  <c r="CE59" i="1" s="1" a="1"/>
  <c r="CE59" i="1" s="1"/>
  <c r="CD43" i="1"/>
  <c r="CE43" i="1" s="1" a="1"/>
  <c r="CE43" i="1" s="1"/>
  <c r="CD27" i="1"/>
  <c r="CE27" i="1" s="1" a="1"/>
  <c r="CE27" i="1" s="1"/>
  <c r="BD7" i="1"/>
  <c r="BE7" i="1" s="1" a="1"/>
  <c r="BE7" i="1" s="1"/>
  <c r="BD36" i="1"/>
  <c r="BE36" i="1" s="1" a="1"/>
  <c r="BE36" i="1" s="1"/>
  <c r="BD24" i="1"/>
  <c r="BE24" i="1" s="1" a="1"/>
  <c r="BE24" i="1" s="1"/>
  <c r="BQ53" i="1"/>
  <c r="BR53" i="1" s="1" a="1"/>
  <c r="BR53" i="1" s="1"/>
  <c r="BQ179" i="1"/>
  <c r="BR179" i="1" s="1" a="1"/>
  <c r="BR179" i="1" s="1"/>
  <c r="BQ7" i="1"/>
  <c r="BR7" i="1" s="1" a="1"/>
  <c r="BR7" i="1" s="1"/>
  <c r="BQ165" i="1"/>
  <c r="BR165" i="1" s="1" a="1"/>
  <c r="BR165" i="1" s="1"/>
  <c r="BQ37" i="1"/>
  <c r="BR37" i="1" s="1" a="1"/>
  <c r="BR37" i="1" s="1"/>
  <c r="BQ163" i="1"/>
  <c r="BR163" i="1" s="1" a="1"/>
  <c r="BR163" i="1" s="1"/>
  <c r="BQ35" i="1"/>
  <c r="BR35" i="1" s="1" a="1"/>
  <c r="BR35" i="1" s="1"/>
  <c r="BD70" i="1"/>
  <c r="BE70" i="1" s="1" a="1"/>
  <c r="BE70" i="1" s="1"/>
  <c r="AQ21" i="1"/>
  <c r="AR21" i="1" s="1" a="1"/>
  <c r="AR21" i="1" s="1"/>
  <c r="BD246" i="1"/>
  <c r="BE246" i="1" s="1" a="1"/>
  <c r="BE246" i="1" s="1"/>
  <c r="BQ149" i="1"/>
  <c r="BR149" i="1" s="1" a="1"/>
  <c r="BR149" i="1" s="1"/>
  <c r="BQ21" i="1"/>
  <c r="BR21" i="1" s="1" a="1"/>
  <c r="BR21" i="1" s="1"/>
  <c r="BD244" i="1"/>
  <c r="BE244" i="1" s="1" a="1"/>
  <c r="BE244" i="1" s="1"/>
  <c r="BQ147" i="1"/>
  <c r="BR147" i="1" s="1" a="1"/>
  <c r="BR147" i="1" s="1"/>
  <c r="BQ19" i="1"/>
  <c r="BR19" i="1" s="1" a="1"/>
  <c r="BR19" i="1" s="1"/>
  <c r="BD200" i="1"/>
  <c r="BE200" i="1" s="1" a="1"/>
  <c r="BE200" i="1" s="1"/>
  <c r="BQ133" i="1"/>
  <c r="BR133" i="1" s="1" a="1"/>
  <c r="BR133" i="1" s="1"/>
  <c r="BQ5" i="1"/>
  <c r="BR5" i="1" s="1" a="1"/>
  <c r="BR5" i="1" s="1"/>
  <c r="BD198" i="1"/>
  <c r="BE198" i="1" s="1" a="1"/>
  <c r="BE198" i="1" s="1"/>
  <c r="BQ3" i="1"/>
  <c r="BR3" i="1" s="1" a="1"/>
  <c r="BR3" i="1" s="1"/>
  <c r="BD164" i="1"/>
  <c r="BE164" i="1" s="1" a="1"/>
  <c r="BE164" i="1" s="1"/>
  <c r="BQ245" i="1"/>
  <c r="BR245" i="1" s="1" a="1"/>
  <c r="BR245" i="1" s="1"/>
  <c r="BQ117" i="1"/>
  <c r="BR117" i="1" s="1" a="1"/>
  <c r="BR117" i="1" s="1"/>
  <c r="BD152" i="1"/>
  <c r="BE152" i="1" s="1" a="1"/>
  <c r="BE152" i="1" s="1"/>
  <c r="BQ243" i="1"/>
  <c r="BR243" i="1" s="1" a="1"/>
  <c r="BR243" i="1" s="1"/>
  <c r="BQ115" i="1"/>
  <c r="BR115" i="1" s="1" a="1"/>
  <c r="BR115" i="1" s="1"/>
  <c r="BD118" i="1"/>
  <c r="BE118" i="1" s="1" a="1"/>
  <c r="BE118" i="1" s="1"/>
  <c r="BQ229" i="1"/>
  <c r="BR229" i="1" s="1" a="1"/>
  <c r="BR229" i="1" s="1"/>
  <c r="BQ101" i="1"/>
  <c r="BR101" i="1" s="1" a="1"/>
  <c r="BR101" i="1" s="1"/>
  <c r="BD116" i="1"/>
  <c r="BE116" i="1" s="1" a="1"/>
  <c r="BE116" i="1" s="1"/>
  <c r="BQ227" i="1"/>
  <c r="BR227" i="1" s="1" a="1"/>
  <c r="BR227" i="1" s="1"/>
  <c r="BQ99" i="1"/>
  <c r="BR99" i="1" s="1" a="1"/>
  <c r="BR99" i="1" s="1"/>
  <c r="BD201" i="1"/>
  <c r="BE201" i="1" s="1" a="1"/>
  <c r="BE201" i="1" s="1"/>
  <c r="BD165" i="1"/>
  <c r="BE165" i="1" s="1" a="1"/>
  <c r="BE165" i="1" s="1"/>
  <c r="BD119" i="1"/>
  <c r="BE119" i="1" s="1" a="1"/>
  <c r="BE119" i="1" s="1"/>
  <c r="BD73" i="1"/>
  <c r="BE73" i="1" s="1" a="1"/>
  <c r="BE73" i="1" s="1"/>
  <c r="BD37" i="1"/>
  <c r="BE37" i="1" s="1" a="1"/>
  <c r="BE37" i="1" s="1"/>
  <c r="BQ246" i="1"/>
  <c r="BR246" i="1" s="1" a="1"/>
  <c r="BR246" i="1" s="1"/>
  <c r="BQ230" i="1"/>
  <c r="BR230" i="1" s="1" a="1"/>
  <c r="BR230" i="1" s="1"/>
  <c r="BQ214" i="1"/>
  <c r="BR214" i="1" s="1" a="1"/>
  <c r="BR214" i="1" s="1"/>
  <c r="BQ198" i="1"/>
  <c r="BR198" i="1" s="1" a="1"/>
  <c r="BR198" i="1" s="1"/>
  <c r="BQ182" i="1"/>
  <c r="BR182" i="1" s="1" a="1"/>
  <c r="BR182" i="1" s="1"/>
  <c r="BQ166" i="1"/>
  <c r="BR166" i="1" s="1" a="1"/>
  <c r="BR166" i="1" s="1"/>
  <c r="BQ150" i="1"/>
  <c r="BR150" i="1" s="1" a="1"/>
  <c r="BR150" i="1" s="1"/>
  <c r="BQ134" i="1"/>
  <c r="BR134" i="1" s="1" a="1"/>
  <c r="BR134" i="1" s="1"/>
  <c r="BQ118" i="1"/>
  <c r="BR118" i="1" s="1" a="1"/>
  <c r="BR118" i="1" s="1"/>
  <c r="BQ102" i="1"/>
  <c r="BR102" i="1" s="1" a="1"/>
  <c r="BR102" i="1" s="1"/>
  <c r="BQ86" i="1"/>
  <c r="BR86" i="1" s="1" a="1"/>
  <c r="BR86" i="1" s="1"/>
  <c r="BQ70" i="1"/>
  <c r="BR70" i="1" s="1" a="1"/>
  <c r="BR70" i="1" s="1"/>
  <c r="BQ54" i="1"/>
  <c r="BR54" i="1" s="1" a="1"/>
  <c r="BR54" i="1" s="1"/>
  <c r="BQ38" i="1"/>
  <c r="BR38" i="1" s="1" a="1"/>
  <c r="BR38" i="1" s="1"/>
  <c r="BQ22" i="1"/>
  <c r="BR22" i="1" s="1" a="1"/>
  <c r="BR22" i="1" s="1"/>
  <c r="BQ6" i="1"/>
  <c r="BR6" i="1" s="1" a="1"/>
  <c r="BR6" i="1" s="1"/>
  <c r="BD245" i="1"/>
  <c r="BE245" i="1" s="1" a="1"/>
  <c r="BE245" i="1" s="1"/>
  <c r="BD199" i="1"/>
  <c r="BE199" i="1" s="1" a="1"/>
  <c r="BE199" i="1" s="1"/>
  <c r="BD153" i="1"/>
  <c r="BE153" i="1" s="1" a="1"/>
  <c r="BE153" i="1" s="1"/>
  <c r="BD117" i="1"/>
  <c r="BE117" i="1" s="1" a="1"/>
  <c r="BE117" i="1" s="1"/>
  <c r="BD71" i="1"/>
  <c r="BE71" i="1" s="1" a="1"/>
  <c r="BE71" i="1" s="1"/>
  <c r="BD25" i="1"/>
  <c r="BE25" i="1" s="1" a="1"/>
  <c r="BE25" i="1" s="1"/>
  <c r="BQ244" i="1"/>
  <c r="BR244" i="1" s="1" a="1"/>
  <c r="BR244" i="1" s="1"/>
  <c r="BQ228" i="1"/>
  <c r="BR228" i="1" s="1" a="1"/>
  <c r="BR228" i="1" s="1"/>
  <c r="BQ212" i="1"/>
  <c r="BR212" i="1" s="1" a="1"/>
  <c r="BR212" i="1" s="1"/>
  <c r="BQ196" i="1"/>
  <c r="BR196" i="1" s="1" a="1"/>
  <c r="BR196" i="1" s="1"/>
  <c r="BQ180" i="1"/>
  <c r="BR180" i="1" s="1" a="1"/>
  <c r="BR180" i="1" s="1"/>
  <c r="BQ164" i="1"/>
  <c r="BR164" i="1" s="1" a="1"/>
  <c r="BR164" i="1" s="1"/>
  <c r="BQ148" i="1"/>
  <c r="BR148" i="1" s="1" a="1"/>
  <c r="BR148" i="1" s="1"/>
  <c r="BQ132" i="1"/>
  <c r="BR132" i="1" s="1" a="1"/>
  <c r="BR132" i="1" s="1"/>
  <c r="BQ116" i="1"/>
  <c r="BR116" i="1" s="1" a="1"/>
  <c r="BR116" i="1" s="1"/>
  <c r="BQ100" i="1"/>
  <c r="BR100" i="1" s="1" a="1"/>
  <c r="BR100" i="1" s="1"/>
  <c r="BQ84" i="1"/>
  <c r="BR84" i="1" s="1" a="1"/>
  <c r="BR84" i="1" s="1"/>
  <c r="BQ68" i="1"/>
  <c r="BR68" i="1" s="1" a="1"/>
  <c r="BR68" i="1" s="1"/>
  <c r="BQ52" i="1"/>
  <c r="BR52" i="1" s="1" a="1"/>
  <c r="BR52" i="1" s="1"/>
  <c r="BQ36" i="1"/>
  <c r="BR36" i="1" s="1" a="1"/>
  <c r="BR36" i="1" s="1"/>
  <c r="BQ20" i="1"/>
  <c r="BR20" i="1" s="1" a="1"/>
  <c r="BR20" i="1" s="1"/>
  <c r="BQ4" i="1"/>
  <c r="BR4" i="1" s="1" a="1"/>
  <c r="BR4" i="1" s="1"/>
  <c r="BD233" i="1"/>
  <c r="BE233" i="1" s="1" a="1"/>
  <c r="BE233" i="1" s="1"/>
  <c r="BD197" i="1"/>
  <c r="BE197" i="1" s="1" a="1"/>
  <c r="BE197" i="1" s="1"/>
  <c r="BD151" i="1"/>
  <c r="BE151" i="1" s="1" a="1"/>
  <c r="BE151" i="1" s="1"/>
  <c r="BD105" i="1"/>
  <c r="BE105" i="1" s="1" a="1"/>
  <c r="BE105" i="1" s="1"/>
  <c r="BD69" i="1"/>
  <c r="BE69" i="1" s="1" a="1"/>
  <c r="BE69" i="1" s="1"/>
  <c r="BD23" i="1"/>
  <c r="BE23" i="1" s="1" a="1"/>
  <c r="BE23" i="1" s="1"/>
  <c r="BQ242" i="1"/>
  <c r="BR242" i="1" s="1" a="1"/>
  <c r="BR242" i="1" s="1"/>
  <c r="BQ226" i="1"/>
  <c r="BR226" i="1" s="1" a="1"/>
  <c r="BR226" i="1" s="1"/>
  <c r="BQ210" i="1"/>
  <c r="BR210" i="1" s="1" a="1"/>
  <c r="BR210" i="1" s="1"/>
  <c r="BQ194" i="1"/>
  <c r="BR194" i="1" s="1" a="1"/>
  <c r="BR194" i="1" s="1"/>
  <c r="BQ178" i="1"/>
  <c r="BR178" i="1" s="1" a="1"/>
  <c r="BR178" i="1" s="1"/>
  <c r="BQ162" i="1"/>
  <c r="BR162" i="1" s="1" a="1"/>
  <c r="BR162" i="1" s="1"/>
  <c r="BQ146" i="1"/>
  <c r="BR146" i="1" s="1" a="1"/>
  <c r="BR146" i="1" s="1"/>
  <c r="BQ130" i="1"/>
  <c r="BR130" i="1" s="1" a="1"/>
  <c r="BR130" i="1" s="1"/>
  <c r="BQ114" i="1"/>
  <c r="BR114" i="1" s="1" a="1"/>
  <c r="BR114" i="1" s="1"/>
  <c r="BQ98" i="1"/>
  <c r="BR98" i="1" s="1" a="1"/>
  <c r="BR98" i="1" s="1"/>
  <c r="BQ82" i="1"/>
  <c r="BR82" i="1" s="1" a="1"/>
  <c r="BR82" i="1" s="1"/>
  <c r="BQ66" i="1"/>
  <c r="BR66" i="1" s="1" a="1"/>
  <c r="BR66" i="1" s="1"/>
  <c r="BQ50" i="1"/>
  <c r="BR50" i="1" s="1" a="1"/>
  <c r="BR50" i="1" s="1"/>
  <c r="BQ34" i="1"/>
  <c r="BR34" i="1" s="1" a="1"/>
  <c r="BR34" i="1" s="1"/>
  <c r="BQ18" i="1"/>
  <c r="BR18" i="1" s="1" a="1"/>
  <c r="BR18" i="1" s="1"/>
  <c r="BD232" i="1"/>
  <c r="BE232" i="1" s="1" a="1"/>
  <c r="BE232" i="1" s="1"/>
  <c r="BD196" i="1"/>
  <c r="BE196" i="1" s="1" a="1"/>
  <c r="BE196" i="1" s="1"/>
  <c r="BD150" i="1"/>
  <c r="BE150" i="1" s="1" a="1"/>
  <c r="BE150" i="1" s="1"/>
  <c r="BD104" i="1"/>
  <c r="BE104" i="1" s="1" a="1"/>
  <c r="BE104" i="1" s="1"/>
  <c r="BD68" i="1"/>
  <c r="BE68" i="1" s="1" a="1"/>
  <c r="BE68" i="1" s="1"/>
  <c r="BD22" i="1"/>
  <c r="BE22" i="1" s="1" a="1"/>
  <c r="BE22" i="1" s="1"/>
  <c r="BQ241" i="1"/>
  <c r="BR241" i="1" s="1" a="1"/>
  <c r="BR241" i="1" s="1"/>
  <c r="BQ225" i="1"/>
  <c r="BR225" i="1" s="1" a="1"/>
  <c r="BR225" i="1" s="1"/>
  <c r="BQ209" i="1"/>
  <c r="BR209" i="1" s="1" a="1"/>
  <c r="BR209" i="1" s="1"/>
  <c r="BQ193" i="1"/>
  <c r="BR193" i="1" s="1" a="1"/>
  <c r="BR193" i="1" s="1"/>
  <c r="BQ177" i="1"/>
  <c r="BR177" i="1" s="1" a="1"/>
  <c r="BR177" i="1" s="1"/>
  <c r="BQ161" i="1"/>
  <c r="BR161" i="1" s="1" a="1"/>
  <c r="BR161" i="1" s="1"/>
  <c r="BQ145" i="1"/>
  <c r="BR145" i="1" s="1" a="1"/>
  <c r="BR145" i="1" s="1"/>
  <c r="BQ129" i="1"/>
  <c r="BR129" i="1" s="1" a="1"/>
  <c r="BR129" i="1" s="1"/>
  <c r="BQ113" i="1"/>
  <c r="BR113" i="1" s="1" a="1"/>
  <c r="BR113" i="1" s="1"/>
  <c r="BQ97" i="1"/>
  <c r="BR97" i="1" s="1" a="1"/>
  <c r="BR97" i="1" s="1"/>
  <c r="BQ81" i="1"/>
  <c r="BR81" i="1" s="1" a="1"/>
  <c r="BR81" i="1" s="1"/>
  <c r="BQ65" i="1"/>
  <c r="BR65" i="1" s="1" a="1"/>
  <c r="BR65" i="1" s="1"/>
  <c r="BQ49" i="1"/>
  <c r="BR49" i="1" s="1" a="1"/>
  <c r="BR49" i="1" s="1"/>
  <c r="BQ33" i="1"/>
  <c r="BR33" i="1" s="1" a="1"/>
  <c r="BR33" i="1" s="1"/>
  <c r="BQ17" i="1"/>
  <c r="BR17" i="1" s="1" a="1"/>
  <c r="BR17" i="1" s="1"/>
  <c r="BD231" i="1"/>
  <c r="BE231" i="1" s="1" a="1"/>
  <c r="BE231" i="1" s="1"/>
  <c r="BD185" i="1"/>
  <c r="BE185" i="1" s="1" a="1"/>
  <c r="BE185" i="1" s="1"/>
  <c r="BD149" i="1"/>
  <c r="BE149" i="1" s="1" a="1"/>
  <c r="BE149" i="1" s="1"/>
  <c r="BD103" i="1"/>
  <c r="BE103" i="1" s="1" a="1"/>
  <c r="BE103" i="1" s="1"/>
  <c r="BD57" i="1"/>
  <c r="BE57" i="1" s="1" a="1"/>
  <c r="BE57" i="1" s="1"/>
  <c r="BD21" i="1"/>
  <c r="BE21" i="1" s="1" a="1"/>
  <c r="BE21" i="1" s="1"/>
  <c r="BQ240" i="1"/>
  <c r="BR240" i="1" s="1" a="1"/>
  <c r="BR240" i="1" s="1"/>
  <c r="BQ224" i="1"/>
  <c r="BR224" i="1" s="1" a="1"/>
  <c r="BR224" i="1" s="1"/>
  <c r="BQ208" i="1"/>
  <c r="BR208" i="1" s="1" a="1"/>
  <c r="BR208" i="1" s="1"/>
  <c r="BQ192" i="1"/>
  <c r="BR192" i="1" s="1" a="1"/>
  <c r="BR192" i="1" s="1"/>
  <c r="BQ176" i="1"/>
  <c r="BR176" i="1" s="1" a="1"/>
  <c r="BR176" i="1" s="1"/>
  <c r="BQ160" i="1"/>
  <c r="BR160" i="1" s="1" a="1"/>
  <c r="BR160" i="1" s="1"/>
  <c r="BQ144" i="1"/>
  <c r="BR144" i="1" s="1" a="1"/>
  <c r="BR144" i="1" s="1"/>
  <c r="BQ128" i="1"/>
  <c r="BR128" i="1" s="1" a="1"/>
  <c r="BR128" i="1" s="1"/>
  <c r="BQ112" i="1"/>
  <c r="BR112" i="1" s="1" a="1"/>
  <c r="BR112" i="1" s="1"/>
  <c r="BQ96" i="1"/>
  <c r="BR96" i="1" s="1" a="1"/>
  <c r="BR96" i="1" s="1"/>
  <c r="BQ80" i="1"/>
  <c r="BR80" i="1" s="1" a="1"/>
  <c r="BR80" i="1" s="1"/>
  <c r="BQ64" i="1"/>
  <c r="BR64" i="1" s="1" a="1"/>
  <c r="BR64" i="1" s="1"/>
  <c r="BQ48" i="1"/>
  <c r="BR48" i="1" s="1" a="1"/>
  <c r="BR48" i="1" s="1"/>
  <c r="BQ32" i="1"/>
  <c r="BR32" i="1" s="1" a="1"/>
  <c r="BR32" i="1" s="1"/>
  <c r="BQ16" i="1"/>
  <c r="BR16" i="1" s="1" a="1"/>
  <c r="BR16" i="1" s="1"/>
  <c r="BD230" i="1"/>
  <c r="BE230" i="1" s="1" a="1"/>
  <c r="BE230" i="1" s="1"/>
  <c r="BD184" i="1"/>
  <c r="BE184" i="1" s="1" a="1"/>
  <c r="BE184" i="1" s="1"/>
  <c r="BD148" i="1"/>
  <c r="BE148" i="1" s="1" a="1"/>
  <c r="BE148" i="1" s="1"/>
  <c r="BD102" i="1"/>
  <c r="BE102" i="1" s="1" a="1"/>
  <c r="BE102" i="1" s="1"/>
  <c r="BD56" i="1"/>
  <c r="BE56" i="1" s="1" a="1"/>
  <c r="BE56" i="1" s="1"/>
  <c r="BD20" i="1"/>
  <c r="BE20" i="1" s="1" a="1"/>
  <c r="BE20" i="1" s="1"/>
  <c r="BQ239" i="1"/>
  <c r="BR239" i="1" s="1" a="1"/>
  <c r="BR239" i="1" s="1"/>
  <c r="BQ223" i="1"/>
  <c r="BR223" i="1" s="1" a="1"/>
  <c r="BR223" i="1" s="1"/>
  <c r="BQ207" i="1"/>
  <c r="BR207" i="1" s="1" a="1"/>
  <c r="BR207" i="1" s="1"/>
  <c r="BQ191" i="1"/>
  <c r="BR191" i="1" s="1" a="1"/>
  <c r="BR191" i="1" s="1"/>
  <c r="BQ175" i="1"/>
  <c r="BR175" i="1" s="1" a="1"/>
  <c r="BR175" i="1" s="1"/>
  <c r="BQ159" i="1"/>
  <c r="BR159" i="1" s="1" a="1"/>
  <c r="BR159" i="1" s="1"/>
  <c r="BQ143" i="1"/>
  <c r="BR143" i="1" s="1" a="1"/>
  <c r="BR143" i="1" s="1"/>
  <c r="BQ127" i="1"/>
  <c r="BR127" i="1" s="1" a="1"/>
  <c r="BR127" i="1" s="1"/>
  <c r="BQ111" i="1"/>
  <c r="BR111" i="1" s="1" a="1"/>
  <c r="BR111" i="1" s="1"/>
  <c r="BQ95" i="1"/>
  <c r="BR95" i="1" s="1" a="1"/>
  <c r="BR95" i="1" s="1"/>
  <c r="BQ79" i="1"/>
  <c r="BR79" i="1" s="1" a="1"/>
  <c r="BR79" i="1" s="1"/>
  <c r="BQ63" i="1"/>
  <c r="BR63" i="1" s="1" a="1"/>
  <c r="BR63" i="1" s="1"/>
  <c r="BQ47" i="1"/>
  <c r="BR47" i="1" s="1" a="1"/>
  <c r="BR47" i="1" s="1"/>
  <c r="BQ31" i="1"/>
  <c r="BR31" i="1" s="1" a="1"/>
  <c r="BR31" i="1" s="1"/>
  <c r="BQ15" i="1"/>
  <c r="BR15" i="1" s="1" a="1"/>
  <c r="BR15" i="1" s="1"/>
  <c r="BD229" i="1"/>
  <c r="BE229" i="1" s="1" a="1"/>
  <c r="BE229" i="1" s="1"/>
  <c r="BD183" i="1"/>
  <c r="BE183" i="1" s="1" a="1"/>
  <c r="BE183" i="1" s="1"/>
  <c r="BD137" i="1"/>
  <c r="BE137" i="1" s="1" a="1"/>
  <c r="BE137" i="1" s="1"/>
  <c r="BD101" i="1"/>
  <c r="BE101" i="1" s="1" a="1"/>
  <c r="BE101" i="1" s="1"/>
  <c r="BD55" i="1"/>
  <c r="BE55" i="1" s="1" a="1"/>
  <c r="BE55" i="1" s="1"/>
  <c r="BD9" i="1"/>
  <c r="BE9" i="1" s="1" a="1"/>
  <c r="BE9" i="1" s="1"/>
  <c r="BQ238" i="1"/>
  <c r="BR238" i="1" s="1" a="1"/>
  <c r="BR238" i="1" s="1"/>
  <c r="BQ222" i="1"/>
  <c r="BR222" i="1" s="1" a="1"/>
  <c r="BR222" i="1" s="1"/>
  <c r="BQ206" i="1"/>
  <c r="BR206" i="1" s="1" a="1"/>
  <c r="BR206" i="1" s="1"/>
  <c r="BQ190" i="1"/>
  <c r="BR190" i="1" s="1" a="1"/>
  <c r="BR190" i="1" s="1"/>
  <c r="BQ174" i="1"/>
  <c r="BR174" i="1" s="1" a="1"/>
  <c r="BR174" i="1" s="1"/>
  <c r="BQ158" i="1"/>
  <c r="BR158" i="1" s="1" a="1"/>
  <c r="BR158" i="1" s="1"/>
  <c r="BQ142" i="1"/>
  <c r="BR142" i="1" s="1" a="1"/>
  <c r="BR142" i="1" s="1"/>
  <c r="BQ126" i="1"/>
  <c r="BR126" i="1" s="1" a="1"/>
  <c r="BR126" i="1" s="1"/>
  <c r="BQ110" i="1"/>
  <c r="BR110" i="1" s="1" a="1"/>
  <c r="BR110" i="1" s="1"/>
  <c r="BQ94" i="1"/>
  <c r="BR94" i="1" s="1" a="1"/>
  <c r="BR94" i="1" s="1"/>
  <c r="BQ78" i="1"/>
  <c r="BR78" i="1" s="1" a="1"/>
  <c r="BR78" i="1" s="1"/>
  <c r="BQ62" i="1"/>
  <c r="BR62" i="1" s="1" a="1"/>
  <c r="BR62" i="1" s="1"/>
  <c r="BQ46" i="1"/>
  <c r="BR46" i="1" s="1" a="1"/>
  <c r="BR46" i="1" s="1"/>
  <c r="BQ30" i="1"/>
  <c r="BR30" i="1" s="1" a="1"/>
  <c r="BR30" i="1" s="1"/>
  <c r="BQ14" i="1"/>
  <c r="BR14" i="1" s="1" a="1"/>
  <c r="BR14" i="1" s="1"/>
  <c r="BD228" i="1"/>
  <c r="BE228" i="1" s="1" a="1"/>
  <c r="BE228" i="1" s="1"/>
  <c r="BD182" i="1"/>
  <c r="BE182" i="1" s="1" a="1"/>
  <c r="BE182" i="1" s="1"/>
  <c r="BD136" i="1"/>
  <c r="BE136" i="1" s="1" a="1"/>
  <c r="BE136" i="1" s="1"/>
  <c r="BD100" i="1"/>
  <c r="BE100" i="1" s="1" a="1"/>
  <c r="BE100" i="1" s="1"/>
  <c r="BD54" i="1"/>
  <c r="BE54" i="1" s="1" a="1"/>
  <c r="BE54" i="1" s="1"/>
  <c r="BD8" i="1"/>
  <c r="BE8" i="1" s="1" a="1"/>
  <c r="BE8" i="1" s="1"/>
  <c r="BQ237" i="1"/>
  <c r="BR237" i="1" s="1" a="1"/>
  <c r="BR237" i="1" s="1"/>
  <c r="BQ221" i="1"/>
  <c r="BR221" i="1" s="1" a="1"/>
  <c r="BR221" i="1" s="1"/>
  <c r="BQ205" i="1"/>
  <c r="BR205" i="1" s="1" a="1"/>
  <c r="BR205" i="1" s="1"/>
  <c r="BQ189" i="1"/>
  <c r="BR189" i="1" s="1" a="1"/>
  <c r="BR189" i="1" s="1"/>
  <c r="BQ173" i="1"/>
  <c r="BR173" i="1" s="1" a="1"/>
  <c r="BR173" i="1" s="1"/>
  <c r="BQ157" i="1"/>
  <c r="BR157" i="1" s="1" a="1"/>
  <c r="BR157" i="1" s="1"/>
  <c r="BQ141" i="1"/>
  <c r="BR141" i="1" s="1" a="1"/>
  <c r="BR141" i="1" s="1"/>
  <c r="BQ125" i="1"/>
  <c r="BR125" i="1" s="1" a="1"/>
  <c r="BR125" i="1" s="1"/>
  <c r="BQ109" i="1"/>
  <c r="BR109" i="1" s="1" a="1"/>
  <c r="BR109" i="1" s="1"/>
  <c r="BQ93" i="1"/>
  <c r="BR93" i="1" s="1" a="1"/>
  <c r="BR93" i="1" s="1"/>
  <c r="BQ77" i="1"/>
  <c r="BR77" i="1" s="1" a="1"/>
  <c r="BR77" i="1" s="1"/>
  <c r="BQ61" i="1"/>
  <c r="BR61" i="1" s="1" a="1"/>
  <c r="BR61" i="1" s="1"/>
  <c r="BQ45" i="1"/>
  <c r="BR45" i="1" s="1" a="1"/>
  <c r="BR45" i="1" s="1"/>
  <c r="BQ29" i="1"/>
  <c r="BR29" i="1" s="1" a="1"/>
  <c r="BR29" i="1" s="1"/>
  <c r="BQ13" i="1"/>
  <c r="BR13" i="1" s="1" a="1"/>
  <c r="BR13" i="1" s="1"/>
  <c r="BD217" i="1"/>
  <c r="BE217" i="1" s="1" a="1"/>
  <c r="BE217" i="1" s="1"/>
  <c r="BD181" i="1"/>
  <c r="BE181" i="1" s="1" a="1"/>
  <c r="BE181" i="1" s="1"/>
  <c r="BD135" i="1"/>
  <c r="BE135" i="1" s="1" a="1"/>
  <c r="BE135" i="1" s="1"/>
  <c r="BD89" i="1"/>
  <c r="BE89" i="1" s="1" a="1"/>
  <c r="BE89" i="1" s="1"/>
  <c r="BD53" i="1"/>
  <c r="BE53" i="1" s="1" a="1"/>
  <c r="BE53" i="1" s="1"/>
  <c r="BQ236" i="1"/>
  <c r="BR236" i="1" s="1" a="1"/>
  <c r="BR236" i="1" s="1"/>
  <c r="BQ220" i="1"/>
  <c r="BR220" i="1" s="1" a="1"/>
  <c r="BR220" i="1" s="1"/>
  <c r="BQ204" i="1"/>
  <c r="BR204" i="1" s="1" a="1"/>
  <c r="BR204" i="1" s="1"/>
  <c r="BQ188" i="1"/>
  <c r="BR188" i="1" s="1" a="1"/>
  <c r="BR188" i="1" s="1"/>
  <c r="BQ172" i="1"/>
  <c r="BR172" i="1" s="1" a="1"/>
  <c r="BR172" i="1" s="1"/>
  <c r="BQ156" i="1"/>
  <c r="BR156" i="1" s="1" a="1"/>
  <c r="BR156" i="1" s="1"/>
  <c r="BQ140" i="1"/>
  <c r="BR140" i="1" s="1" a="1"/>
  <c r="BR140" i="1" s="1"/>
  <c r="BQ124" i="1"/>
  <c r="BR124" i="1" s="1" a="1"/>
  <c r="BR124" i="1" s="1"/>
  <c r="BQ108" i="1"/>
  <c r="BR108" i="1" s="1" a="1"/>
  <c r="BR108" i="1" s="1"/>
  <c r="BQ92" i="1"/>
  <c r="BR92" i="1" s="1" a="1"/>
  <c r="BR92" i="1" s="1"/>
  <c r="BQ76" i="1"/>
  <c r="BR76" i="1" s="1" a="1"/>
  <c r="BR76" i="1" s="1"/>
  <c r="BQ60" i="1"/>
  <c r="BR60" i="1" s="1" a="1"/>
  <c r="BR60" i="1" s="1"/>
  <c r="BQ44" i="1"/>
  <c r="BR44" i="1" s="1" a="1"/>
  <c r="BR44" i="1" s="1"/>
  <c r="BQ28" i="1"/>
  <c r="BR28" i="1" s="1" a="1"/>
  <c r="BR28" i="1" s="1"/>
  <c r="BQ12" i="1"/>
  <c r="BR12" i="1" s="1" a="1"/>
  <c r="BR12" i="1" s="1"/>
  <c r="BD10" i="1"/>
  <c r="BE10" i="1" s="1" a="1"/>
  <c r="BE10" i="1" s="1"/>
  <c r="BD216" i="1"/>
  <c r="BE216" i="1" s="1" a="1"/>
  <c r="BE216" i="1" s="1"/>
  <c r="BD180" i="1"/>
  <c r="BE180" i="1" s="1" a="1"/>
  <c r="BE180" i="1" s="1"/>
  <c r="BD134" i="1"/>
  <c r="BE134" i="1" s="1" a="1"/>
  <c r="BE134" i="1" s="1"/>
  <c r="BD88" i="1"/>
  <c r="BE88" i="1" s="1" a="1"/>
  <c r="BE88" i="1" s="1"/>
  <c r="BD52" i="1"/>
  <c r="BE52" i="1" s="1" a="1"/>
  <c r="BE52" i="1" s="1"/>
  <c r="BD6" i="1"/>
  <c r="BE6" i="1" s="1" a="1"/>
  <c r="BE6" i="1" s="1"/>
  <c r="BQ2" i="1"/>
  <c r="BR2" i="1" s="1" a="1"/>
  <c r="BR2" i="1" s="1"/>
  <c r="BQ235" i="1"/>
  <c r="BR235" i="1" s="1" a="1"/>
  <c r="BR235" i="1" s="1"/>
  <c r="BQ219" i="1"/>
  <c r="BR219" i="1" s="1" a="1"/>
  <c r="BR219" i="1" s="1"/>
  <c r="BQ203" i="1"/>
  <c r="BR203" i="1" s="1" a="1"/>
  <c r="BR203" i="1" s="1"/>
  <c r="BQ187" i="1"/>
  <c r="BR187" i="1" s="1" a="1"/>
  <c r="BR187" i="1" s="1"/>
  <c r="BQ171" i="1"/>
  <c r="BR171" i="1" s="1" a="1"/>
  <c r="BR171" i="1" s="1"/>
  <c r="BQ155" i="1"/>
  <c r="BR155" i="1" s="1" a="1"/>
  <c r="BR155" i="1" s="1"/>
  <c r="BQ139" i="1"/>
  <c r="BR139" i="1" s="1" a="1"/>
  <c r="BR139" i="1" s="1"/>
  <c r="BQ123" i="1"/>
  <c r="BR123" i="1" s="1" a="1"/>
  <c r="BR123" i="1" s="1"/>
  <c r="BQ107" i="1"/>
  <c r="BR107" i="1" s="1" a="1"/>
  <c r="BR107" i="1" s="1"/>
  <c r="BQ91" i="1"/>
  <c r="BR91" i="1" s="1" a="1"/>
  <c r="BR91" i="1" s="1"/>
  <c r="BQ75" i="1"/>
  <c r="BR75" i="1" s="1" a="1"/>
  <c r="BR75" i="1" s="1"/>
  <c r="BQ59" i="1"/>
  <c r="BR59" i="1" s="1" a="1"/>
  <c r="BR59" i="1" s="1"/>
  <c r="BQ43" i="1"/>
  <c r="BR43" i="1" s="1" a="1"/>
  <c r="BR43" i="1" s="1"/>
  <c r="BQ27" i="1"/>
  <c r="BR27" i="1" s="1" a="1"/>
  <c r="BR27" i="1" s="1"/>
  <c r="BQ11" i="1"/>
  <c r="BR11" i="1" s="1" a="1"/>
  <c r="BR11" i="1" s="1"/>
  <c r="BD215" i="1"/>
  <c r="BE215" i="1" s="1" a="1"/>
  <c r="BE215" i="1" s="1"/>
  <c r="BD169" i="1"/>
  <c r="BE169" i="1" s="1" a="1"/>
  <c r="BE169" i="1" s="1"/>
  <c r="BD133" i="1"/>
  <c r="BE133" i="1" s="1" a="1"/>
  <c r="BE133" i="1" s="1"/>
  <c r="BD87" i="1"/>
  <c r="BE87" i="1" s="1" a="1"/>
  <c r="BE87" i="1" s="1"/>
  <c r="BD41" i="1"/>
  <c r="BE41" i="1" s="1" a="1"/>
  <c r="BE41" i="1" s="1"/>
  <c r="BD5" i="1"/>
  <c r="BE5" i="1" s="1" a="1"/>
  <c r="BE5" i="1" s="1"/>
  <c r="BQ234" i="1"/>
  <c r="BR234" i="1" s="1" a="1"/>
  <c r="BR234" i="1" s="1"/>
  <c r="BQ218" i="1"/>
  <c r="BR218" i="1" s="1" a="1"/>
  <c r="BR218" i="1" s="1"/>
  <c r="BQ202" i="1"/>
  <c r="BR202" i="1" s="1" a="1"/>
  <c r="BR202" i="1" s="1"/>
  <c r="BQ186" i="1"/>
  <c r="BR186" i="1" s="1" a="1"/>
  <c r="BR186" i="1" s="1"/>
  <c r="BQ170" i="1"/>
  <c r="BR170" i="1" s="1" a="1"/>
  <c r="BR170" i="1" s="1"/>
  <c r="BQ154" i="1"/>
  <c r="BR154" i="1" s="1" a="1"/>
  <c r="BR154" i="1" s="1"/>
  <c r="BQ138" i="1"/>
  <c r="BR138" i="1" s="1" a="1"/>
  <c r="BR138" i="1" s="1"/>
  <c r="BQ122" i="1"/>
  <c r="BR122" i="1" s="1" a="1"/>
  <c r="BR122" i="1" s="1"/>
  <c r="BQ106" i="1"/>
  <c r="BR106" i="1" s="1" a="1"/>
  <c r="BR106" i="1" s="1"/>
  <c r="BQ90" i="1"/>
  <c r="BR90" i="1" s="1" a="1"/>
  <c r="BR90" i="1" s="1"/>
  <c r="BQ74" i="1"/>
  <c r="BR74" i="1" s="1" a="1"/>
  <c r="BR74" i="1" s="1"/>
  <c r="BQ58" i="1"/>
  <c r="BR58" i="1" s="1" a="1"/>
  <c r="BR58" i="1" s="1"/>
  <c r="BQ42" i="1"/>
  <c r="BR42" i="1" s="1" a="1"/>
  <c r="BR42" i="1" s="1"/>
  <c r="BQ26" i="1"/>
  <c r="BR26" i="1" s="1" a="1"/>
  <c r="BR26" i="1" s="1"/>
  <c r="BQ10" i="1"/>
  <c r="BR10" i="1" s="1" a="1"/>
  <c r="BR10" i="1" s="1"/>
  <c r="BD214" i="1"/>
  <c r="BE214" i="1" s="1" a="1"/>
  <c r="BE214" i="1" s="1"/>
  <c r="BD168" i="1"/>
  <c r="BE168" i="1" s="1" a="1"/>
  <c r="BE168" i="1" s="1"/>
  <c r="BD132" i="1"/>
  <c r="BE132" i="1" s="1" a="1"/>
  <c r="BE132" i="1" s="1"/>
  <c r="BD86" i="1"/>
  <c r="BE86" i="1" s="1" a="1"/>
  <c r="BE86" i="1" s="1"/>
  <c r="BD40" i="1"/>
  <c r="BE40" i="1" s="1" a="1"/>
  <c r="BE40" i="1" s="1"/>
  <c r="BD4" i="1"/>
  <c r="BE4" i="1" s="1" a="1"/>
  <c r="BE4" i="1" s="1"/>
  <c r="BQ233" i="1"/>
  <c r="BR233" i="1" s="1" a="1"/>
  <c r="BR233" i="1" s="1"/>
  <c r="BQ217" i="1"/>
  <c r="BR217" i="1" s="1" a="1"/>
  <c r="BR217" i="1" s="1"/>
  <c r="BQ201" i="1"/>
  <c r="BR201" i="1" s="1" a="1"/>
  <c r="BR201" i="1" s="1"/>
  <c r="BQ185" i="1"/>
  <c r="BR185" i="1" s="1" a="1"/>
  <c r="BR185" i="1" s="1"/>
  <c r="BQ169" i="1"/>
  <c r="BR169" i="1" s="1" a="1"/>
  <c r="BR169" i="1" s="1"/>
  <c r="BQ153" i="1"/>
  <c r="BR153" i="1" s="1" a="1"/>
  <c r="BR153" i="1" s="1"/>
  <c r="BQ137" i="1"/>
  <c r="BR137" i="1" s="1" a="1"/>
  <c r="BR137" i="1" s="1"/>
  <c r="BQ121" i="1"/>
  <c r="BR121" i="1" s="1" a="1"/>
  <c r="BR121" i="1" s="1"/>
  <c r="BQ105" i="1"/>
  <c r="BR105" i="1" s="1" a="1"/>
  <c r="BR105" i="1" s="1"/>
  <c r="BQ89" i="1"/>
  <c r="BR89" i="1" s="1" a="1"/>
  <c r="BR89" i="1" s="1"/>
  <c r="BQ73" i="1"/>
  <c r="BR73" i="1" s="1" a="1"/>
  <c r="BR73" i="1" s="1"/>
  <c r="BQ57" i="1"/>
  <c r="BR57" i="1" s="1" a="1"/>
  <c r="BR57" i="1" s="1"/>
  <c r="BQ41" i="1"/>
  <c r="BR41" i="1" s="1" a="1"/>
  <c r="BR41" i="1" s="1"/>
  <c r="BQ25" i="1"/>
  <c r="BR25" i="1" s="1" a="1"/>
  <c r="BR25" i="1" s="1"/>
  <c r="BQ9" i="1"/>
  <c r="BR9" i="1" s="1" a="1"/>
  <c r="BR9" i="1" s="1"/>
  <c r="BD213" i="1"/>
  <c r="BE213" i="1" s="1" a="1"/>
  <c r="BE213" i="1" s="1"/>
  <c r="BD167" i="1"/>
  <c r="BE167" i="1" s="1" a="1"/>
  <c r="BE167" i="1" s="1"/>
  <c r="BD121" i="1"/>
  <c r="BE121" i="1" s="1" a="1"/>
  <c r="BE121" i="1" s="1"/>
  <c r="BD85" i="1"/>
  <c r="BE85" i="1" s="1" a="1"/>
  <c r="BE85" i="1" s="1"/>
  <c r="BD39" i="1"/>
  <c r="BE39" i="1" s="1" a="1"/>
  <c r="BE39" i="1" s="1"/>
  <c r="BQ232" i="1"/>
  <c r="BR232" i="1" s="1" a="1"/>
  <c r="BR232" i="1" s="1"/>
  <c r="BQ216" i="1"/>
  <c r="BR216" i="1" s="1" a="1"/>
  <c r="BR216" i="1" s="1"/>
  <c r="BQ200" i="1"/>
  <c r="BR200" i="1" s="1" a="1"/>
  <c r="BR200" i="1" s="1"/>
  <c r="BQ184" i="1"/>
  <c r="BR184" i="1" s="1" a="1"/>
  <c r="BR184" i="1" s="1"/>
  <c r="BQ168" i="1"/>
  <c r="BR168" i="1" s="1" a="1"/>
  <c r="BR168" i="1" s="1"/>
  <c r="BQ152" i="1"/>
  <c r="BR152" i="1" s="1" a="1"/>
  <c r="BR152" i="1" s="1"/>
  <c r="BQ136" i="1"/>
  <c r="BR136" i="1" s="1" a="1"/>
  <c r="BR136" i="1" s="1"/>
  <c r="BQ120" i="1"/>
  <c r="BR120" i="1" s="1" a="1"/>
  <c r="BR120" i="1" s="1"/>
  <c r="BQ104" i="1"/>
  <c r="BR104" i="1" s="1" a="1"/>
  <c r="BR104" i="1" s="1"/>
  <c r="BQ88" i="1"/>
  <c r="BR88" i="1" s="1" a="1"/>
  <c r="BR88" i="1" s="1"/>
  <c r="BQ72" i="1"/>
  <c r="BR72" i="1" s="1" a="1"/>
  <c r="BR72" i="1" s="1"/>
  <c r="BQ56" i="1"/>
  <c r="BR56" i="1" s="1" a="1"/>
  <c r="BR56" i="1" s="1"/>
  <c r="BQ40" i="1"/>
  <c r="BR40" i="1" s="1" a="1"/>
  <c r="BR40" i="1" s="1"/>
  <c r="BQ24" i="1"/>
  <c r="BR24" i="1" s="1" a="1"/>
  <c r="BR24" i="1" s="1"/>
  <c r="BQ8" i="1"/>
  <c r="BR8" i="1" s="1" a="1"/>
  <c r="BR8" i="1" s="1"/>
  <c r="CH3" i="1"/>
  <c r="BD212" i="1"/>
  <c r="BE212" i="1" s="1" a="1"/>
  <c r="BE212" i="1" s="1"/>
  <c r="BD166" i="1"/>
  <c r="BE166" i="1" s="1" a="1"/>
  <c r="BE166" i="1" s="1"/>
  <c r="BD120" i="1"/>
  <c r="BE120" i="1" s="1" a="1"/>
  <c r="BE120" i="1" s="1"/>
  <c r="BD84" i="1"/>
  <c r="BE84" i="1" s="1" a="1"/>
  <c r="BE84" i="1" s="1"/>
  <c r="BD38" i="1"/>
  <c r="BE38" i="1" s="1" a="1"/>
  <c r="BE38" i="1" s="1"/>
  <c r="BQ231" i="1"/>
  <c r="BR231" i="1" s="1" a="1"/>
  <c r="BR231" i="1" s="1"/>
  <c r="BQ215" i="1"/>
  <c r="BR215" i="1" s="1" a="1"/>
  <c r="BR215" i="1" s="1"/>
  <c r="BQ199" i="1"/>
  <c r="BR199" i="1" s="1" a="1"/>
  <c r="BR199" i="1" s="1"/>
  <c r="BQ183" i="1"/>
  <c r="BR183" i="1" s="1" a="1"/>
  <c r="BR183" i="1" s="1"/>
  <c r="BQ167" i="1"/>
  <c r="BR167" i="1" s="1" a="1"/>
  <c r="BR167" i="1" s="1"/>
  <c r="BQ151" i="1"/>
  <c r="BR151" i="1" s="1" a="1"/>
  <c r="BR151" i="1" s="1"/>
  <c r="BQ135" i="1"/>
  <c r="BR135" i="1" s="1" a="1"/>
  <c r="BR135" i="1" s="1"/>
  <c r="BQ119" i="1"/>
  <c r="BR119" i="1" s="1" a="1"/>
  <c r="BR119" i="1" s="1"/>
  <c r="BQ103" i="1"/>
  <c r="BR103" i="1" s="1" a="1"/>
  <c r="BR103" i="1" s="1"/>
  <c r="BQ87" i="1"/>
  <c r="BR87" i="1" s="1" a="1"/>
  <c r="BR87" i="1" s="1"/>
  <c r="BQ71" i="1"/>
  <c r="BR71" i="1" s="1" a="1"/>
  <c r="BR71" i="1" s="1"/>
  <c r="BQ55" i="1"/>
  <c r="BR55" i="1" s="1" a="1"/>
  <c r="BR55" i="1" s="1"/>
  <c r="BQ39" i="1"/>
  <c r="BR39" i="1" s="1" a="1"/>
  <c r="BR39" i="1" s="1"/>
  <c r="BQ23" i="1"/>
  <c r="BR23" i="1" s="1" a="1"/>
  <c r="BR23" i="1" s="1"/>
  <c r="AQ212" i="1"/>
  <c r="AR212" i="1" s="1" a="1"/>
  <c r="AR212" i="1" s="1"/>
  <c r="BD243" i="1"/>
  <c r="BE243" i="1" s="1" a="1"/>
  <c r="BE243" i="1" s="1"/>
  <c r="BD227" i="1"/>
  <c r="BE227" i="1" s="1" a="1"/>
  <c r="BE227" i="1" s="1"/>
  <c r="BD211" i="1"/>
  <c r="BE211" i="1" s="1" a="1"/>
  <c r="BE211" i="1" s="1"/>
  <c r="BD195" i="1"/>
  <c r="BE195" i="1" s="1" a="1"/>
  <c r="BE195" i="1" s="1"/>
  <c r="BD179" i="1"/>
  <c r="BE179" i="1" s="1" a="1"/>
  <c r="BE179" i="1" s="1"/>
  <c r="BD163" i="1"/>
  <c r="BE163" i="1" s="1" a="1"/>
  <c r="BE163" i="1" s="1"/>
  <c r="BD147" i="1"/>
  <c r="BE147" i="1" s="1" a="1"/>
  <c r="BE147" i="1" s="1"/>
  <c r="BD131" i="1"/>
  <c r="BE131" i="1" s="1" a="1"/>
  <c r="BE131" i="1" s="1"/>
  <c r="BD115" i="1"/>
  <c r="BE115" i="1" s="1" a="1"/>
  <c r="BE115" i="1" s="1"/>
  <c r="BD99" i="1"/>
  <c r="BE99" i="1" s="1" a="1"/>
  <c r="BE99" i="1" s="1"/>
  <c r="BD83" i="1"/>
  <c r="BE83" i="1" s="1" a="1"/>
  <c r="BE83" i="1" s="1"/>
  <c r="BD67" i="1"/>
  <c r="BE67" i="1" s="1" a="1"/>
  <c r="BE67" i="1" s="1"/>
  <c r="BD51" i="1"/>
  <c r="BE51" i="1" s="1" a="1"/>
  <c r="BE51" i="1" s="1"/>
  <c r="BD35" i="1"/>
  <c r="BE35" i="1" s="1" a="1"/>
  <c r="BE35" i="1" s="1"/>
  <c r="BD19" i="1"/>
  <c r="BE19" i="1" s="1" a="1"/>
  <c r="BE19" i="1" s="1"/>
  <c r="BD3" i="1"/>
  <c r="BE3" i="1" s="1" a="1"/>
  <c r="BE3" i="1" s="1"/>
  <c r="AQ197" i="1"/>
  <c r="AR197" i="1" s="1" a="1"/>
  <c r="AR197" i="1" s="1"/>
  <c r="BD242" i="1"/>
  <c r="BE242" i="1" s="1" a="1"/>
  <c r="BE242" i="1" s="1"/>
  <c r="BD226" i="1"/>
  <c r="BE226" i="1" s="1" a="1"/>
  <c r="BE226" i="1" s="1"/>
  <c r="BD210" i="1"/>
  <c r="BE210" i="1" s="1" a="1"/>
  <c r="BE210" i="1" s="1"/>
  <c r="BD194" i="1"/>
  <c r="BE194" i="1" s="1" a="1"/>
  <c r="BE194" i="1" s="1"/>
  <c r="BD178" i="1"/>
  <c r="BE178" i="1" s="1" a="1"/>
  <c r="BE178" i="1" s="1"/>
  <c r="BD162" i="1"/>
  <c r="BE162" i="1" s="1" a="1"/>
  <c r="BE162" i="1" s="1"/>
  <c r="BD146" i="1"/>
  <c r="BE146" i="1" s="1" a="1"/>
  <c r="BE146" i="1" s="1"/>
  <c r="BD130" i="1"/>
  <c r="BE130" i="1" s="1" a="1"/>
  <c r="BE130" i="1" s="1"/>
  <c r="BD114" i="1"/>
  <c r="BE114" i="1" s="1" a="1"/>
  <c r="BE114" i="1" s="1"/>
  <c r="BD98" i="1"/>
  <c r="BE98" i="1" s="1" a="1"/>
  <c r="BE98" i="1" s="1"/>
  <c r="BD82" i="1"/>
  <c r="BE82" i="1" s="1" a="1"/>
  <c r="BE82" i="1" s="1"/>
  <c r="BD66" i="1"/>
  <c r="BE66" i="1" s="1" a="1"/>
  <c r="BE66" i="1" s="1"/>
  <c r="BD50" i="1"/>
  <c r="BE50" i="1" s="1" a="1"/>
  <c r="BE50" i="1" s="1"/>
  <c r="BD34" i="1"/>
  <c r="BE34" i="1" s="1" a="1"/>
  <c r="BE34" i="1" s="1"/>
  <c r="BD18" i="1"/>
  <c r="BE18" i="1" s="1" a="1"/>
  <c r="BE18" i="1" s="1"/>
  <c r="AQ196" i="1"/>
  <c r="AR196" i="1" s="1" a="1"/>
  <c r="AR196" i="1" s="1"/>
  <c r="BD241" i="1"/>
  <c r="BE241" i="1" s="1" a="1"/>
  <c r="BE241" i="1" s="1"/>
  <c r="BD225" i="1"/>
  <c r="BE225" i="1" s="1" a="1"/>
  <c r="BE225" i="1" s="1"/>
  <c r="BD209" i="1"/>
  <c r="BE209" i="1" s="1" a="1"/>
  <c r="BE209" i="1" s="1"/>
  <c r="BD193" i="1"/>
  <c r="BE193" i="1" s="1" a="1"/>
  <c r="BE193" i="1" s="1"/>
  <c r="BD177" i="1"/>
  <c r="BE177" i="1" s="1" a="1"/>
  <c r="BE177" i="1" s="1"/>
  <c r="BD161" i="1"/>
  <c r="BE161" i="1" s="1" a="1"/>
  <c r="BE161" i="1" s="1"/>
  <c r="BD145" i="1"/>
  <c r="BE145" i="1" s="1" a="1"/>
  <c r="BE145" i="1" s="1"/>
  <c r="BD129" i="1"/>
  <c r="BE129" i="1" s="1" a="1"/>
  <c r="BE129" i="1" s="1"/>
  <c r="BD113" i="1"/>
  <c r="BE113" i="1" s="1" a="1"/>
  <c r="BE113" i="1" s="1"/>
  <c r="BD97" i="1"/>
  <c r="BE97" i="1" s="1" a="1"/>
  <c r="BE97" i="1" s="1"/>
  <c r="BD81" i="1"/>
  <c r="BE81" i="1" s="1" a="1"/>
  <c r="BE81" i="1" s="1"/>
  <c r="BD65" i="1"/>
  <c r="BE65" i="1" s="1" a="1"/>
  <c r="BE65" i="1" s="1"/>
  <c r="BD49" i="1"/>
  <c r="BE49" i="1" s="1" a="1"/>
  <c r="BE49" i="1" s="1"/>
  <c r="BD33" i="1"/>
  <c r="BE33" i="1" s="1" a="1"/>
  <c r="BE33" i="1" s="1"/>
  <c r="BD17" i="1"/>
  <c r="BE17" i="1" s="1" a="1"/>
  <c r="BE17" i="1" s="1"/>
  <c r="AQ84" i="1"/>
  <c r="AR84" i="1" s="1" a="1"/>
  <c r="AR84" i="1" s="1"/>
  <c r="BD240" i="1"/>
  <c r="BE240" i="1" s="1" a="1"/>
  <c r="BE240" i="1" s="1"/>
  <c r="BD224" i="1"/>
  <c r="BE224" i="1" s="1" a="1"/>
  <c r="BE224" i="1" s="1"/>
  <c r="BD208" i="1"/>
  <c r="BE208" i="1" s="1" a="1"/>
  <c r="BE208" i="1" s="1"/>
  <c r="BD192" i="1"/>
  <c r="BE192" i="1" s="1" a="1"/>
  <c r="BE192" i="1" s="1"/>
  <c r="BD176" i="1"/>
  <c r="BE176" i="1" s="1" a="1"/>
  <c r="BE176" i="1" s="1"/>
  <c r="BD160" i="1"/>
  <c r="BE160" i="1" s="1" a="1"/>
  <c r="BE160" i="1" s="1"/>
  <c r="BD144" i="1"/>
  <c r="BE144" i="1" s="1" a="1"/>
  <c r="BE144" i="1" s="1"/>
  <c r="BD128" i="1"/>
  <c r="BE128" i="1" s="1" a="1"/>
  <c r="BE128" i="1" s="1"/>
  <c r="BD112" i="1"/>
  <c r="BE112" i="1" s="1" a="1"/>
  <c r="BE112" i="1" s="1"/>
  <c r="BD96" i="1"/>
  <c r="BE96" i="1" s="1" a="1"/>
  <c r="BE96" i="1" s="1"/>
  <c r="BD80" i="1"/>
  <c r="BE80" i="1" s="1" a="1"/>
  <c r="BE80" i="1" s="1"/>
  <c r="BD64" i="1"/>
  <c r="BE64" i="1" s="1" a="1"/>
  <c r="BE64" i="1" s="1"/>
  <c r="BD48" i="1"/>
  <c r="BE48" i="1" s="1" a="1"/>
  <c r="BE48" i="1" s="1"/>
  <c r="BD32" i="1"/>
  <c r="BE32" i="1" s="1" a="1"/>
  <c r="BE32" i="1" s="1"/>
  <c r="BD16" i="1"/>
  <c r="BE16" i="1" s="1" a="1"/>
  <c r="BE16" i="1" s="1"/>
  <c r="BD239" i="1"/>
  <c r="BE239" i="1" s="1" a="1"/>
  <c r="BE239" i="1" s="1"/>
  <c r="BD223" i="1"/>
  <c r="BE223" i="1" s="1" a="1"/>
  <c r="BE223" i="1" s="1"/>
  <c r="BD207" i="1"/>
  <c r="BE207" i="1" s="1" a="1"/>
  <c r="BE207" i="1" s="1"/>
  <c r="BD191" i="1"/>
  <c r="BE191" i="1" s="1" a="1"/>
  <c r="BE191" i="1" s="1"/>
  <c r="BD175" i="1"/>
  <c r="BE175" i="1" s="1" a="1"/>
  <c r="BE175" i="1" s="1"/>
  <c r="BD159" i="1"/>
  <c r="BE159" i="1" s="1" a="1"/>
  <c r="BE159" i="1" s="1"/>
  <c r="BD143" i="1"/>
  <c r="BE143" i="1" s="1" a="1"/>
  <c r="BE143" i="1" s="1"/>
  <c r="BD127" i="1"/>
  <c r="BE127" i="1" s="1" a="1"/>
  <c r="BE127" i="1" s="1"/>
  <c r="BD111" i="1"/>
  <c r="BE111" i="1" s="1" a="1"/>
  <c r="BE111" i="1" s="1"/>
  <c r="BD95" i="1"/>
  <c r="BE95" i="1" s="1" a="1"/>
  <c r="BE95" i="1" s="1"/>
  <c r="BD79" i="1"/>
  <c r="BE79" i="1" s="1" a="1"/>
  <c r="BE79" i="1" s="1"/>
  <c r="BD63" i="1"/>
  <c r="BE63" i="1" s="1" a="1"/>
  <c r="BE63" i="1" s="1"/>
  <c r="BD47" i="1"/>
  <c r="BE47" i="1" s="1" a="1"/>
  <c r="BE47" i="1" s="1"/>
  <c r="BD31" i="1"/>
  <c r="BE31" i="1" s="1" a="1"/>
  <c r="BE31" i="1" s="1"/>
  <c r="BD15" i="1"/>
  <c r="BE15" i="1" s="1" a="1"/>
  <c r="BE15" i="1" s="1"/>
  <c r="BD238" i="1"/>
  <c r="BE238" i="1" s="1" a="1"/>
  <c r="BE238" i="1" s="1"/>
  <c r="BD222" i="1"/>
  <c r="BE222" i="1" s="1" a="1"/>
  <c r="BE222" i="1" s="1"/>
  <c r="BD206" i="1"/>
  <c r="BE206" i="1" s="1" a="1"/>
  <c r="BE206" i="1" s="1"/>
  <c r="BD190" i="1"/>
  <c r="BE190" i="1" s="1" a="1"/>
  <c r="BE190" i="1" s="1"/>
  <c r="BD174" i="1"/>
  <c r="BE174" i="1" s="1" a="1"/>
  <c r="BE174" i="1" s="1"/>
  <c r="BD158" i="1"/>
  <c r="BE158" i="1" s="1" a="1"/>
  <c r="BE158" i="1" s="1"/>
  <c r="BD142" i="1"/>
  <c r="BE142" i="1" s="1" a="1"/>
  <c r="BE142" i="1" s="1"/>
  <c r="BD126" i="1"/>
  <c r="BE126" i="1" s="1" a="1"/>
  <c r="BE126" i="1" s="1"/>
  <c r="BD110" i="1"/>
  <c r="BE110" i="1" s="1" a="1"/>
  <c r="BE110" i="1" s="1"/>
  <c r="BD94" i="1"/>
  <c r="BE94" i="1" s="1" a="1"/>
  <c r="BE94" i="1" s="1"/>
  <c r="BD78" i="1"/>
  <c r="BE78" i="1" s="1" a="1"/>
  <c r="BE78" i="1" s="1"/>
  <c r="BD62" i="1"/>
  <c r="BE62" i="1" s="1" a="1"/>
  <c r="BE62" i="1" s="1"/>
  <c r="BD46" i="1"/>
  <c r="BE46" i="1" s="1" a="1"/>
  <c r="BE46" i="1" s="1"/>
  <c r="BD30" i="1"/>
  <c r="BE30" i="1" s="1" a="1"/>
  <c r="BE30" i="1" s="1"/>
  <c r="BD14" i="1"/>
  <c r="BE14" i="1" s="1" a="1"/>
  <c r="BE14" i="1" s="1"/>
  <c r="BD237" i="1"/>
  <c r="BE237" i="1" s="1" a="1"/>
  <c r="BE237" i="1" s="1"/>
  <c r="BD221" i="1"/>
  <c r="BE221" i="1" s="1" a="1"/>
  <c r="BE221" i="1" s="1"/>
  <c r="BD205" i="1"/>
  <c r="BE205" i="1" s="1" a="1"/>
  <c r="BE205" i="1" s="1"/>
  <c r="BD189" i="1"/>
  <c r="BE189" i="1" s="1" a="1"/>
  <c r="BE189" i="1" s="1"/>
  <c r="BD173" i="1"/>
  <c r="BE173" i="1" s="1" a="1"/>
  <c r="BE173" i="1" s="1"/>
  <c r="BD157" i="1"/>
  <c r="BE157" i="1" s="1" a="1"/>
  <c r="BE157" i="1" s="1"/>
  <c r="BD141" i="1"/>
  <c r="BE141" i="1" s="1" a="1"/>
  <c r="BE141" i="1" s="1"/>
  <c r="BD125" i="1"/>
  <c r="BE125" i="1" s="1" a="1"/>
  <c r="BE125" i="1" s="1"/>
  <c r="BD109" i="1"/>
  <c r="BE109" i="1" s="1" a="1"/>
  <c r="BE109" i="1" s="1"/>
  <c r="BD93" i="1"/>
  <c r="BE93" i="1" s="1" a="1"/>
  <c r="BE93" i="1" s="1"/>
  <c r="BD77" i="1"/>
  <c r="BE77" i="1" s="1" a="1"/>
  <c r="BE77" i="1" s="1"/>
  <c r="BD61" i="1"/>
  <c r="BE61" i="1" s="1" a="1"/>
  <c r="BE61" i="1" s="1"/>
  <c r="BD45" i="1"/>
  <c r="BE45" i="1" s="1" a="1"/>
  <c r="BE45" i="1" s="1"/>
  <c r="BD29" i="1"/>
  <c r="BE29" i="1" s="1" a="1"/>
  <c r="BE29" i="1" s="1"/>
  <c r="BD13" i="1"/>
  <c r="BE13" i="1" s="1" a="1"/>
  <c r="BE13" i="1" s="1"/>
  <c r="BD236" i="1"/>
  <c r="BE236" i="1" s="1" a="1"/>
  <c r="BE236" i="1" s="1"/>
  <c r="BD220" i="1"/>
  <c r="BE220" i="1" s="1" a="1"/>
  <c r="BE220" i="1" s="1"/>
  <c r="BD204" i="1"/>
  <c r="BE204" i="1" s="1" a="1"/>
  <c r="BE204" i="1" s="1"/>
  <c r="BD188" i="1"/>
  <c r="BE188" i="1" s="1" a="1"/>
  <c r="BE188" i="1" s="1"/>
  <c r="BD172" i="1"/>
  <c r="BE172" i="1" s="1" a="1"/>
  <c r="BE172" i="1" s="1"/>
  <c r="BD156" i="1"/>
  <c r="BE156" i="1" s="1" a="1"/>
  <c r="BE156" i="1" s="1"/>
  <c r="BD140" i="1"/>
  <c r="BE140" i="1" s="1" a="1"/>
  <c r="BE140" i="1" s="1"/>
  <c r="BD124" i="1"/>
  <c r="BE124" i="1" s="1" a="1"/>
  <c r="BE124" i="1" s="1"/>
  <c r="BD108" i="1"/>
  <c r="BE108" i="1" s="1" a="1"/>
  <c r="BE108" i="1" s="1"/>
  <c r="BD92" i="1"/>
  <c r="BE92" i="1" s="1" a="1"/>
  <c r="BE92" i="1" s="1"/>
  <c r="BD76" i="1"/>
  <c r="BE76" i="1" s="1" a="1"/>
  <c r="BE76" i="1" s="1"/>
  <c r="BD60" i="1"/>
  <c r="BE60" i="1" s="1" a="1"/>
  <c r="BE60" i="1" s="1"/>
  <c r="BD44" i="1"/>
  <c r="BE44" i="1" s="1" a="1"/>
  <c r="BE44" i="1" s="1"/>
  <c r="BD28" i="1"/>
  <c r="BE28" i="1" s="1" a="1"/>
  <c r="BE28" i="1" s="1"/>
  <c r="BD12" i="1"/>
  <c r="BE12" i="1" s="1" a="1"/>
  <c r="BE12" i="1" s="1"/>
  <c r="BD2" i="1"/>
  <c r="BE2" i="1" s="1" a="1"/>
  <c r="BE2" i="1" s="1"/>
  <c r="BD235" i="1"/>
  <c r="BE235" i="1" s="1" a="1"/>
  <c r="BE235" i="1" s="1"/>
  <c r="BD219" i="1"/>
  <c r="BE219" i="1" s="1" a="1"/>
  <c r="BE219" i="1" s="1"/>
  <c r="BD203" i="1"/>
  <c r="BE203" i="1" s="1" a="1"/>
  <c r="BE203" i="1" s="1"/>
  <c r="BD187" i="1"/>
  <c r="BE187" i="1" s="1" a="1"/>
  <c r="BE187" i="1" s="1"/>
  <c r="BD171" i="1"/>
  <c r="BE171" i="1" s="1" a="1"/>
  <c r="BE171" i="1" s="1"/>
  <c r="BD155" i="1"/>
  <c r="BE155" i="1" s="1" a="1"/>
  <c r="BE155" i="1" s="1"/>
  <c r="BD139" i="1"/>
  <c r="BE139" i="1" s="1" a="1"/>
  <c r="BE139" i="1" s="1"/>
  <c r="BD123" i="1"/>
  <c r="BE123" i="1" s="1" a="1"/>
  <c r="BE123" i="1" s="1"/>
  <c r="BD107" i="1"/>
  <c r="BE107" i="1" s="1" a="1"/>
  <c r="BE107" i="1" s="1"/>
  <c r="BD91" i="1"/>
  <c r="BE91" i="1" s="1" a="1"/>
  <c r="BE91" i="1" s="1"/>
  <c r="BD75" i="1"/>
  <c r="BE75" i="1" s="1" a="1"/>
  <c r="BE75" i="1" s="1"/>
  <c r="BD59" i="1"/>
  <c r="BE59" i="1" s="1" a="1"/>
  <c r="BE59" i="1" s="1"/>
  <c r="BD43" i="1"/>
  <c r="BE43" i="1" s="1" a="1"/>
  <c r="BE43" i="1" s="1"/>
  <c r="BD27" i="1"/>
  <c r="BE27" i="1" s="1" a="1"/>
  <c r="BE27" i="1" s="1"/>
  <c r="BD11" i="1"/>
  <c r="BE11" i="1" s="1" a="1"/>
  <c r="BE11" i="1" s="1"/>
  <c r="BT3" i="1"/>
  <c r="BD234" i="1"/>
  <c r="BE234" i="1" s="1" a="1"/>
  <c r="BE234" i="1" s="1"/>
  <c r="BD218" i="1"/>
  <c r="BE218" i="1" s="1" a="1"/>
  <c r="BE218" i="1" s="1"/>
  <c r="BD202" i="1"/>
  <c r="BE202" i="1" s="1" a="1"/>
  <c r="BE202" i="1" s="1"/>
  <c r="BD186" i="1"/>
  <c r="BE186" i="1" s="1" a="1"/>
  <c r="BE186" i="1" s="1"/>
  <c r="BD170" i="1"/>
  <c r="BE170" i="1" s="1" a="1"/>
  <c r="BE170" i="1" s="1"/>
  <c r="BD154" i="1"/>
  <c r="BE154" i="1" s="1" a="1"/>
  <c r="BE154" i="1" s="1"/>
  <c r="BD138" i="1"/>
  <c r="BE138" i="1" s="1" a="1"/>
  <c r="BE138" i="1" s="1"/>
  <c r="BD122" i="1"/>
  <c r="BE122" i="1" s="1" a="1"/>
  <c r="BE122" i="1" s="1"/>
  <c r="BD106" i="1"/>
  <c r="BE106" i="1" s="1" a="1"/>
  <c r="BE106" i="1" s="1"/>
  <c r="BD90" i="1"/>
  <c r="BE90" i="1" s="1" a="1"/>
  <c r="BE90" i="1" s="1"/>
  <c r="BD74" i="1"/>
  <c r="BE74" i="1" s="1" a="1"/>
  <c r="BE74" i="1" s="1"/>
  <c r="BD58" i="1"/>
  <c r="BE58" i="1" s="1" a="1"/>
  <c r="BE58" i="1" s="1"/>
  <c r="BD42" i="1"/>
  <c r="BE42" i="1" s="1" a="1"/>
  <c r="BE42" i="1" s="1"/>
  <c r="BD26" i="1"/>
  <c r="BE26" i="1" s="1" a="1"/>
  <c r="BE26" i="1" s="1"/>
  <c r="AQ69" i="1"/>
  <c r="AR69" i="1" s="1" a="1"/>
  <c r="AR69" i="1" s="1"/>
  <c r="AQ68" i="1"/>
  <c r="AR68" i="1" s="1" a="1"/>
  <c r="AR68" i="1" s="1"/>
  <c r="AQ181" i="1"/>
  <c r="AR181" i="1" s="1" a="1"/>
  <c r="AR181" i="1" s="1"/>
  <c r="AQ53" i="1"/>
  <c r="AR53" i="1" s="1" a="1"/>
  <c r="AR53" i="1" s="1"/>
  <c r="AQ180" i="1"/>
  <c r="AR180" i="1" s="1" a="1"/>
  <c r="AR180" i="1" s="1"/>
  <c r="AQ52" i="1"/>
  <c r="AR52" i="1" s="1" a="1"/>
  <c r="AR52" i="1" s="1"/>
  <c r="AQ165" i="1"/>
  <c r="AR165" i="1" s="1" a="1"/>
  <c r="AR165" i="1" s="1"/>
  <c r="AQ37" i="1"/>
  <c r="AR37" i="1" s="1" a="1"/>
  <c r="AR37" i="1" s="1"/>
  <c r="AQ164" i="1"/>
  <c r="AR164" i="1" s="1" a="1"/>
  <c r="AR164" i="1" s="1"/>
  <c r="AQ36" i="1"/>
  <c r="AR36" i="1" s="1" a="1"/>
  <c r="AR36" i="1" s="1"/>
  <c r="AQ149" i="1"/>
  <c r="AR149" i="1" s="1" a="1"/>
  <c r="AR149" i="1" s="1"/>
  <c r="AQ6" i="1"/>
  <c r="AR6" i="1" s="1" a="1"/>
  <c r="AR6" i="1" s="1"/>
  <c r="AQ148" i="1"/>
  <c r="AR148" i="1" s="1" a="1"/>
  <c r="AR148" i="1" s="1"/>
  <c r="AQ20" i="1"/>
  <c r="AR20" i="1" s="1" a="1"/>
  <c r="AR20" i="1" s="1"/>
  <c r="AQ133" i="1"/>
  <c r="AR133" i="1" s="1" a="1"/>
  <c r="AR133" i="1" s="1"/>
  <c r="AQ5" i="1"/>
  <c r="AR5" i="1" s="1" a="1"/>
  <c r="AR5" i="1" s="1"/>
  <c r="AQ132" i="1"/>
  <c r="AR132" i="1" s="1" a="1"/>
  <c r="AR132" i="1" s="1"/>
  <c r="AQ4" i="1"/>
  <c r="AR4" i="1" s="1" a="1"/>
  <c r="AR4" i="1" s="1"/>
  <c r="AQ117" i="1"/>
  <c r="AR117" i="1" s="1" a="1"/>
  <c r="AR117" i="1" s="1"/>
  <c r="AQ116" i="1"/>
  <c r="AR116" i="1" s="1" a="1"/>
  <c r="AR116" i="1" s="1"/>
  <c r="AQ229" i="1"/>
  <c r="AR229" i="1" s="1" a="1"/>
  <c r="AR229" i="1" s="1"/>
  <c r="AQ101" i="1"/>
  <c r="AR101" i="1" s="1" a="1"/>
  <c r="AR101" i="1" s="1"/>
  <c r="AQ228" i="1"/>
  <c r="AR228" i="1" s="1" a="1"/>
  <c r="AR228" i="1" s="1"/>
  <c r="AQ100" i="1"/>
  <c r="AR100" i="1" s="1" a="1"/>
  <c r="AR100" i="1" s="1"/>
  <c r="AQ213" i="1"/>
  <c r="AR213" i="1" s="1" a="1"/>
  <c r="AR213" i="1" s="1"/>
  <c r="AQ85" i="1"/>
  <c r="AR85" i="1" s="1" a="1"/>
  <c r="AR85" i="1" s="1"/>
  <c r="AQ227" i="1"/>
  <c r="AR227" i="1" s="1" a="1"/>
  <c r="AR227" i="1" s="1"/>
  <c r="AQ211" i="1"/>
  <c r="AR211" i="1" s="1" a="1"/>
  <c r="AR211" i="1" s="1"/>
  <c r="AQ195" i="1"/>
  <c r="AR195" i="1" s="1" a="1"/>
  <c r="AR195" i="1" s="1"/>
  <c r="AQ179" i="1"/>
  <c r="AR179" i="1" s="1" a="1"/>
  <c r="AR179" i="1" s="1"/>
  <c r="AQ163" i="1"/>
  <c r="AR163" i="1" s="1" a="1"/>
  <c r="AR163" i="1" s="1"/>
  <c r="AQ147" i="1"/>
  <c r="AR147" i="1" s="1" a="1"/>
  <c r="AR147" i="1" s="1"/>
  <c r="AQ131" i="1"/>
  <c r="AR131" i="1" s="1" a="1"/>
  <c r="AR131" i="1" s="1"/>
  <c r="AQ115" i="1"/>
  <c r="AR115" i="1" s="1" a="1"/>
  <c r="AR115" i="1" s="1"/>
  <c r="AQ99" i="1"/>
  <c r="AR99" i="1" s="1" a="1"/>
  <c r="AR99" i="1" s="1"/>
  <c r="AQ83" i="1"/>
  <c r="AR83" i="1" s="1" a="1"/>
  <c r="AR83" i="1" s="1"/>
  <c r="AQ67" i="1"/>
  <c r="AR67" i="1" s="1" a="1"/>
  <c r="AR67" i="1" s="1"/>
  <c r="AQ51" i="1"/>
  <c r="AR51" i="1" s="1" a="1"/>
  <c r="AR51" i="1" s="1"/>
  <c r="AQ35" i="1"/>
  <c r="AR35" i="1" s="1" a="1"/>
  <c r="AR35" i="1" s="1"/>
  <c r="AQ19" i="1"/>
  <c r="AR19" i="1" s="1" a="1"/>
  <c r="AR19" i="1" s="1"/>
  <c r="AQ3" i="1"/>
  <c r="AR3" i="1" s="1" a="1"/>
  <c r="AR3" i="1" s="1"/>
  <c r="AQ226" i="1"/>
  <c r="AR226" i="1" s="1" a="1"/>
  <c r="AR226" i="1" s="1"/>
  <c r="AQ210" i="1"/>
  <c r="AR210" i="1" s="1" a="1"/>
  <c r="AR210" i="1" s="1"/>
  <c r="AQ194" i="1"/>
  <c r="AR194" i="1" s="1" a="1"/>
  <c r="AR194" i="1" s="1"/>
  <c r="AQ178" i="1"/>
  <c r="AR178" i="1" s="1" a="1"/>
  <c r="AR178" i="1" s="1"/>
  <c r="AQ162" i="1"/>
  <c r="AR162" i="1" s="1" a="1"/>
  <c r="AR162" i="1" s="1"/>
  <c r="AQ146" i="1"/>
  <c r="AR146" i="1" s="1" a="1"/>
  <c r="AR146" i="1" s="1"/>
  <c r="AQ130" i="1"/>
  <c r="AR130" i="1" s="1" a="1"/>
  <c r="AR130" i="1" s="1"/>
  <c r="AQ114" i="1"/>
  <c r="AR114" i="1" s="1" a="1"/>
  <c r="AR114" i="1" s="1"/>
  <c r="AQ98" i="1"/>
  <c r="AR98" i="1" s="1" a="1"/>
  <c r="AR98" i="1" s="1"/>
  <c r="AQ82" i="1"/>
  <c r="AR82" i="1" s="1" a="1"/>
  <c r="AR82" i="1" s="1"/>
  <c r="AQ66" i="1"/>
  <c r="AR66" i="1" s="1" a="1"/>
  <c r="AR66" i="1" s="1"/>
  <c r="AQ50" i="1"/>
  <c r="AR50" i="1" s="1" a="1"/>
  <c r="AR50" i="1" s="1"/>
  <c r="AQ34" i="1"/>
  <c r="AR34" i="1" s="1" a="1"/>
  <c r="AR34" i="1" s="1"/>
  <c r="AQ18" i="1"/>
  <c r="AR18" i="1" s="1" a="1"/>
  <c r="AR18" i="1" s="1"/>
  <c r="AQ225" i="1"/>
  <c r="AR225" i="1" s="1" a="1"/>
  <c r="AR225" i="1" s="1"/>
  <c r="AQ209" i="1"/>
  <c r="AR209" i="1" s="1" a="1"/>
  <c r="AR209" i="1" s="1"/>
  <c r="AQ193" i="1"/>
  <c r="AR193" i="1" s="1" a="1"/>
  <c r="AR193" i="1" s="1"/>
  <c r="AQ177" i="1"/>
  <c r="AR177" i="1" s="1" a="1"/>
  <c r="AR177" i="1" s="1"/>
  <c r="AQ161" i="1"/>
  <c r="AR161" i="1" s="1" a="1"/>
  <c r="AR161" i="1" s="1"/>
  <c r="AQ145" i="1"/>
  <c r="AR145" i="1" s="1" a="1"/>
  <c r="AR145" i="1" s="1"/>
  <c r="AQ129" i="1"/>
  <c r="AR129" i="1" s="1" a="1"/>
  <c r="AR129" i="1" s="1"/>
  <c r="AQ113" i="1"/>
  <c r="AR113" i="1" s="1" a="1"/>
  <c r="AR113" i="1" s="1"/>
  <c r="AQ97" i="1"/>
  <c r="AR97" i="1" s="1" a="1"/>
  <c r="AR97" i="1" s="1"/>
  <c r="AQ81" i="1"/>
  <c r="AR81" i="1" s="1" a="1"/>
  <c r="AR81" i="1" s="1"/>
  <c r="AQ65" i="1"/>
  <c r="AR65" i="1" s="1" a="1"/>
  <c r="AR65" i="1" s="1"/>
  <c r="AQ49" i="1"/>
  <c r="AR49" i="1" s="1" a="1"/>
  <c r="AR49" i="1" s="1"/>
  <c r="AQ33" i="1"/>
  <c r="AR33" i="1" s="1" a="1"/>
  <c r="AR33" i="1" s="1"/>
  <c r="AQ17" i="1"/>
  <c r="AR17" i="1" s="1" a="1"/>
  <c r="AR17" i="1" s="1"/>
  <c r="AQ224" i="1"/>
  <c r="AR224" i="1" s="1" a="1"/>
  <c r="AR224" i="1" s="1"/>
  <c r="AQ208" i="1"/>
  <c r="AR208" i="1" s="1" a="1"/>
  <c r="AR208" i="1" s="1"/>
  <c r="AQ192" i="1"/>
  <c r="AR192" i="1" s="1" a="1"/>
  <c r="AR192" i="1" s="1"/>
  <c r="AQ176" i="1"/>
  <c r="AR176" i="1" s="1" a="1"/>
  <c r="AR176" i="1" s="1"/>
  <c r="AQ160" i="1"/>
  <c r="AR160" i="1" s="1" a="1"/>
  <c r="AR160" i="1" s="1"/>
  <c r="AQ144" i="1"/>
  <c r="AR144" i="1" s="1" a="1"/>
  <c r="AR144" i="1" s="1"/>
  <c r="AQ128" i="1"/>
  <c r="AR128" i="1" s="1" a="1"/>
  <c r="AR128" i="1" s="1"/>
  <c r="AQ112" i="1"/>
  <c r="AR112" i="1" s="1" a="1"/>
  <c r="AR112" i="1" s="1"/>
  <c r="AQ96" i="1"/>
  <c r="AR96" i="1" s="1" a="1"/>
  <c r="AR96" i="1" s="1"/>
  <c r="AQ80" i="1"/>
  <c r="AR80" i="1" s="1" a="1"/>
  <c r="AR80" i="1" s="1"/>
  <c r="AQ64" i="1"/>
  <c r="AR64" i="1" s="1" a="1"/>
  <c r="AR64" i="1" s="1"/>
  <c r="AQ48" i="1"/>
  <c r="AR48" i="1" s="1" a="1"/>
  <c r="AR48" i="1" s="1"/>
  <c r="AQ32" i="1"/>
  <c r="AR32" i="1" s="1" a="1"/>
  <c r="AR32" i="1" s="1"/>
  <c r="AQ16" i="1"/>
  <c r="AR16" i="1" s="1" a="1"/>
  <c r="AR16" i="1" s="1"/>
  <c r="AQ2" i="1"/>
  <c r="AR2" i="1" s="1" a="1"/>
  <c r="AR2" i="1" s="1"/>
  <c r="AQ223" i="1"/>
  <c r="AR223" i="1" s="1" a="1"/>
  <c r="AR223" i="1" s="1"/>
  <c r="AQ207" i="1"/>
  <c r="AR207" i="1" s="1" a="1"/>
  <c r="AR207" i="1" s="1"/>
  <c r="AQ191" i="1"/>
  <c r="AR191" i="1" s="1" a="1"/>
  <c r="AR191" i="1" s="1"/>
  <c r="AQ175" i="1"/>
  <c r="AR175" i="1" s="1" a="1"/>
  <c r="AR175" i="1" s="1"/>
  <c r="AQ159" i="1"/>
  <c r="AR159" i="1" s="1" a="1"/>
  <c r="AR159" i="1" s="1"/>
  <c r="AQ143" i="1"/>
  <c r="AR143" i="1" s="1" a="1"/>
  <c r="AR143" i="1" s="1"/>
  <c r="AQ127" i="1"/>
  <c r="AR127" i="1" s="1" a="1"/>
  <c r="AR127" i="1" s="1"/>
  <c r="AQ111" i="1"/>
  <c r="AR111" i="1" s="1" a="1"/>
  <c r="AR111" i="1" s="1"/>
  <c r="AQ95" i="1"/>
  <c r="AR95" i="1" s="1" a="1"/>
  <c r="AR95" i="1" s="1"/>
  <c r="AQ79" i="1"/>
  <c r="AR79" i="1" s="1" a="1"/>
  <c r="AR79" i="1" s="1"/>
  <c r="AQ63" i="1"/>
  <c r="AR63" i="1" s="1" a="1"/>
  <c r="AR63" i="1" s="1"/>
  <c r="AQ47" i="1"/>
  <c r="AR47" i="1" s="1" a="1"/>
  <c r="AR47" i="1" s="1"/>
  <c r="AQ31" i="1"/>
  <c r="AR31" i="1" s="1" a="1"/>
  <c r="AR31" i="1" s="1"/>
  <c r="AQ15" i="1"/>
  <c r="AR15" i="1" s="1" a="1"/>
  <c r="AR15" i="1" s="1"/>
  <c r="AQ222" i="1"/>
  <c r="AR222" i="1" s="1" a="1"/>
  <c r="AR222" i="1" s="1"/>
  <c r="AQ206" i="1"/>
  <c r="AR206" i="1" s="1" a="1"/>
  <c r="AR206" i="1" s="1"/>
  <c r="AQ190" i="1"/>
  <c r="AR190" i="1" s="1" a="1"/>
  <c r="AR190" i="1" s="1"/>
  <c r="AQ174" i="1"/>
  <c r="AR174" i="1" s="1" a="1"/>
  <c r="AR174" i="1" s="1"/>
  <c r="AQ158" i="1"/>
  <c r="AR158" i="1" s="1" a="1"/>
  <c r="AR158" i="1" s="1"/>
  <c r="AQ142" i="1"/>
  <c r="AR142" i="1" s="1" a="1"/>
  <c r="AR142" i="1" s="1"/>
  <c r="AQ126" i="1"/>
  <c r="AR126" i="1" s="1" a="1"/>
  <c r="AR126" i="1" s="1"/>
  <c r="AQ110" i="1"/>
  <c r="AR110" i="1" s="1" a="1"/>
  <c r="AR110" i="1" s="1"/>
  <c r="AQ94" i="1"/>
  <c r="AR94" i="1" s="1" a="1"/>
  <c r="AR94" i="1" s="1"/>
  <c r="AQ78" i="1"/>
  <c r="AR78" i="1" s="1" a="1"/>
  <c r="AR78" i="1" s="1"/>
  <c r="AQ62" i="1"/>
  <c r="AR62" i="1" s="1" a="1"/>
  <c r="AR62" i="1" s="1"/>
  <c r="AQ46" i="1"/>
  <c r="AR46" i="1" s="1" a="1"/>
  <c r="AR46" i="1" s="1"/>
  <c r="AQ30" i="1"/>
  <c r="AR30" i="1" s="1" a="1"/>
  <c r="AR30" i="1" s="1"/>
  <c r="AQ14" i="1"/>
  <c r="AR14" i="1" s="1" a="1"/>
  <c r="AR14" i="1" s="1"/>
  <c r="AQ221" i="1"/>
  <c r="AR221" i="1" s="1" a="1"/>
  <c r="AR221" i="1" s="1"/>
  <c r="AQ205" i="1"/>
  <c r="AR205" i="1" s="1" a="1"/>
  <c r="AR205" i="1" s="1"/>
  <c r="AQ189" i="1"/>
  <c r="AR189" i="1" s="1" a="1"/>
  <c r="AR189" i="1" s="1"/>
  <c r="AQ173" i="1"/>
  <c r="AR173" i="1" s="1" a="1"/>
  <c r="AR173" i="1" s="1"/>
  <c r="AQ157" i="1"/>
  <c r="AR157" i="1" s="1" a="1"/>
  <c r="AR157" i="1" s="1"/>
  <c r="AQ141" i="1"/>
  <c r="AR141" i="1" s="1" a="1"/>
  <c r="AR141" i="1" s="1"/>
  <c r="AQ125" i="1"/>
  <c r="AR125" i="1" s="1" a="1"/>
  <c r="AR125" i="1" s="1"/>
  <c r="AQ109" i="1"/>
  <c r="AR109" i="1" s="1" a="1"/>
  <c r="AR109" i="1" s="1"/>
  <c r="AQ93" i="1"/>
  <c r="AR93" i="1" s="1" a="1"/>
  <c r="AR93" i="1" s="1"/>
  <c r="AQ77" i="1"/>
  <c r="AR77" i="1" s="1" a="1"/>
  <c r="AR77" i="1" s="1"/>
  <c r="AQ61" i="1"/>
  <c r="AR61" i="1" s="1" a="1"/>
  <c r="AR61" i="1" s="1"/>
  <c r="AQ45" i="1"/>
  <c r="AR45" i="1" s="1" a="1"/>
  <c r="AR45" i="1" s="1"/>
  <c r="AQ29" i="1"/>
  <c r="AR29" i="1" s="1" a="1"/>
  <c r="AR29" i="1" s="1"/>
  <c r="AQ13" i="1"/>
  <c r="AR13" i="1" s="1" a="1"/>
  <c r="AR13" i="1" s="1"/>
  <c r="AQ220" i="1"/>
  <c r="AR220" i="1" s="1" a="1"/>
  <c r="AR220" i="1" s="1"/>
  <c r="AQ204" i="1"/>
  <c r="AR204" i="1" s="1" a="1"/>
  <c r="AR204" i="1" s="1"/>
  <c r="AQ188" i="1"/>
  <c r="AR188" i="1" s="1" a="1"/>
  <c r="AR188" i="1" s="1"/>
  <c r="AQ172" i="1"/>
  <c r="AR172" i="1" s="1" a="1"/>
  <c r="AR172" i="1" s="1"/>
  <c r="AQ156" i="1"/>
  <c r="AR156" i="1" s="1" a="1"/>
  <c r="AR156" i="1" s="1"/>
  <c r="AQ140" i="1"/>
  <c r="AR140" i="1" s="1" a="1"/>
  <c r="AR140" i="1" s="1"/>
  <c r="AQ124" i="1"/>
  <c r="AR124" i="1" s="1" a="1"/>
  <c r="AR124" i="1" s="1"/>
  <c r="AQ108" i="1"/>
  <c r="AR108" i="1" s="1" a="1"/>
  <c r="AR108" i="1" s="1"/>
  <c r="AQ92" i="1"/>
  <c r="AR92" i="1" s="1" a="1"/>
  <c r="AR92" i="1" s="1"/>
  <c r="AQ76" i="1"/>
  <c r="AR76" i="1" s="1" a="1"/>
  <c r="AR76" i="1" s="1"/>
  <c r="AQ60" i="1"/>
  <c r="AR60" i="1" s="1" a="1"/>
  <c r="AR60" i="1" s="1"/>
  <c r="AQ44" i="1"/>
  <c r="AR44" i="1" s="1" a="1"/>
  <c r="AR44" i="1" s="1"/>
  <c r="AQ28" i="1"/>
  <c r="AR28" i="1" s="1" a="1"/>
  <c r="AR28" i="1" s="1"/>
  <c r="AQ12" i="1"/>
  <c r="AR12" i="1" s="1" a="1"/>
  <c r="AR12" i="1" s="1"/>
  <c r="AQ219" i="1"/>
  <c r="AR219" i="1" s="1" a="1"/>
  <c r="AR219" i="1" s="1"/>
  <c r="AQ203" i="1"/>
  <c r="AR203" i="1" s="1" a="1"/>
  <c r="AR203" i="1" s="1"/>
  <c r="AQ187" i="1"/>
  <c r="AR187" i="1" s="1" a="1"/>
  <c r="AR187" i="1" s="1"/>
  <c r="AQ171" i="1"/>
  <c r="AR171" i="1" s="1" a="1"/>
  <c r="AR171" i="1" s="1"/>
  <c r="AQ155" i="1"/>
  <c r="AR155" i="1" s="1" a="1"/>
  <c r="AR155" i="1" s="1"/>
  <c r="AQ139" i="1"/>
  <c r="AR139" i="1" s="1" a="1"/>
  <c r="AR139" i="1" s="1"/>
  <c r="AQ123" i="1"/>
  <c r="AR123" i="1" s="1" a="1"/>
  <c r="AR123" i="1" s="1"/>
  <c r="AQ107" i="1"/>
  <c r="AR107" i="1" s="1" a="1"/>
  <c r="AR107" i="1" s="1"/>
  <c r="AQ91" i="1"/>
  <c r="AR91" i="1" s="1" a="1"/>
  <c r="AR91" i="1" s="1"/>
  <c r="AQ75" i="1"/>
  <c r="AR75" i="1" s="1" a="1"/>
  <c r="AR75" i="1" s="1"/>
  <c r="AQ59" i="1"/>
  <c r="AR59" i="1" s="1" a="1"/>
  <c r="AR59" i="1" s="1"/>
  <c r="AQ43" i="1"/>
  <c r="AR43" i="1" s="1" a="1"/>
  <c r="AR43" i="1" s="1"/>
  <c r="AQ27" i="1"/>
  <c r="AR27" i="1" s="1" a="1"/>
  <c r="AR27" i="1" s="1"/>
  <c r="AQ11" i="1"/>
  <c r="AR11" i="1" s="1" a="1"/>
  <c r="AR11" i="1" s="1"/>
  <c r="AQ218" i="1"/>
  <c r="AR218" i="1" s="1" a="1"/>
  <c r="AR218" i="1" s="1"/>
  <c r="AQ202" i="1"/>
  <c r="AR202" i="1" s="1" a="1"/>
  <c r="AR202" i="1" s="1"/>
  <c r="AQ186" i="1"/>
  <c r="AR186" i="1" s="1" a="1"/>
  <c r="AR186" i="1" s="1"/>
  <c r="AQ170" i="1"/>
  <c r="AR170" i="1" s="1" a="1"/>
  <c r="AR170" i="1" s="1"/>
  <c r="AQ154" i="1"/>
  <c r="AR154" i="1" s="1" a="1"/>
  <c r="AR154" i="1" s="1"/>
  <c r="AQ138" i="1"/>
  <c r="AR138" i="1" s="1" a="1"/>
  <c r="AR138" i="1" s="1"/>
  <c r="AQ122" i="1"/>
  <c r="AR122" i="1" s="1" a="1"/>
  <c r="AR122" i="1" s="1"/>
  <c r="AQ106" i="1"/>
  <c r="AR106" i="1" s="1" a="1"/>
  <c r="AR106" i="1" s="1"/>
  <c r="AQ90" i="1"/>
  <c r="AR90" i="1" s="1" a="1"/>
  <c r="AR90" i="1" s="1"/>
  <c r="AQ74" i="1"/>
  <c r="AR74" i="1" s="1" a="1"/>
  <c r="AR74" i="1" s="1"/>
  <c r="AQ58" i="1"/>
  <c r="AR58" i="1" s="1" a="1"/>
  <c r="AR58" i="1" s="1"/>
  <c r="AQ42" i="1"/>
  <c r="AR42" i="1" s="1" a="1"/>
  <c r="AR42" i="1" s="1"/>
  <c r="AQ26" i="1"/>
  <c r="AR26" i="1" s="1" a="1"/>
  <c r="AR26" i="1" s="1"/>
  <c r="AQ10" i="1"/>
  <c r="AR10" i="1" s="1" a="1"/>
  <c r="AR10" i="1" s="1"/>
  <c r="AQ217" i="1"/>
  <c r="AR217" i="1" s="1" a="1"/>
  <c r="AR217" i="1" s="1"/>
  <c r="AQ201" i="1"/>
  <c r="AR201" i="1" s="1" a="1"/>
  <c r="AR201" i="1" s="1"/>
  <c r="AQ185" i="1"/>
  <c r="AR185" i="1" s="1" a="1"/>
  <c r="AR185" i="1" s="1"/>
  <c r="AQ169" i="1"/>
  <c r="AR169" i="1" s="1" a="1"/>
  <c r="AR169" i="1" s="1"/>
  <c r="AQ153" i="1"/>
  <c r="AR153" i="1" s="1" a="1"/>
  <c r="AR153" i="1" s="1"/>
  <c r="AQ137" i="1"/>
  <c r="AR137" i="1" s="1" a="1"/>
  <c r="AR137" i="1" s="1"/>
  <c r="AQ121" i="1"/>
  <c r="AR121" i="1" s="1" a="1"/>
  <c r="AR121" i="1" s="1"/>
  <c r="AQ105" i="1"/>
  <c r="AR105" i="1" s="1" a="1"/>
  <c r="AR105" i="1" s="1"/>
  <c r="AQ89" i="1"/>
  <c r="AR89" i="1" s="1" a="1"/>
  <c r="AR89" i="1" s="1"/>
  <c r="AQ73" i="1"/>
  <c r="AR73" i="1" s="1" a="1"/>
  <c r="AR73" i="1" s="1"/>
  <c r="AQ57" i="1"/>
  <c r="AR57" i="1" s="1" a="1"/>
  <c r="AR57" i="1" s="1"/>
  <c r="AQ41" i="1"/>
  <c r="AR41" i="1" s="1" a="1"/>
  <c r="AR41" i="1" s="1"/>
  <c r="AQ25" i="1"/>
  <c r="AR25" i="1" s="1" a="1"/>
  <c r="AR25" i="1" s="1"/>
  <c r="AQ9" i="1"/>
  <c r="AR9" i="1" s="1" a="1"/>
  <c r="AR9" i="1" s="1"/>
  <c r="AQ232" i="1"/>
  <c r="AR232" i="1" s="1" a="1"/>
  <c r="AR232" i="1" s="1"/>
  <c r="AQ216" i="1"/>
  <c r="AR216" i="1" s="1" a="1"/>
  <c r="AR216" i="1" s="1"/>
  <c r="AQ200" i="1"/>
  <c r="AR200" i="1" s="1" a="1"/>
  <c r="AR200" i="1" s="1"/>
  <c r="AQ184" i="1"/>
  <c r="AR184" i="1" s="1" a="1"/>
  <c r="AR184" i="1" s="1"/>
  <c r="AQ168" i="1"/>
  <c r="AR168" i="1" s="1" a="1"/>
  <c r="AR168" i="1" s="1"/>
  <c r="AQ152" i="1"/>
  <c r="AR152" i="1" s="1" a="1"/>
  <c r="AR152" i="1" s="1"/>
  <c r="AQ136" i="1"/>
  <c r="AR136" i="1" s="1" a="1"/>
  <c r="AR136" i="1" s="1"/>
  <c r="AQ120" i="1"/>
  <c r="AR120" i="1" s="1" a="1"/>
  <c r="AR120" i="1" s="1"/>
  <c r="AQ104" i="1"/>
  <c r="AR104" i="1" s="1" a="1"/>
  <c r="AR104" i="1" s="1"/>
  <c r="AQ88" i="1"/>
  <c r="AR88" i="1" s="1" a="1"/>
  <c r="AR88" i="1" s="1"/>
  <c r="AQ72" i="1"/>
  <c r="AR72" i="1" s="1" a="1"/>
  <c r="AR72" i="1" s="1"/>
  <c r="AQ56" i="1"/>
  <c r="AR56" i="1" s="1" a="1"/>
  <c r="AR56" i="1" s="1"/>
  <c r="AQ40" i="1"/>
  <c r="AR40" i="1" s="1" a="1"/>
  <c r="AR40" i="1" s="1"/>
  <c r="AQ24" i="1"/>
  <c r="AR24" i="1" s="1" a="1"/>
  <c r="AR24" i="1" s="1"/>
  <c r="AQ8" i="1"/>
  <c r="AR8" i="1" s="1" a="1"/>
  <c r="AR8" i="1" s="1"/>
  <c r="AQ231" i="1"/>
  <c r="AR231" i="1" s="1" a="1"/>
  <c r="AR231" i="1" s="1"/>
  <c r="AQ215" i="1"/>
  <c r="AR215" i="1" s="1" a="1"/>
  <c r="AR215" i="1" s="1"/>
  <c r="AQ199" i="1"/>
  <c r="AR199" i="1" s="1" a="1"/>
  <c r="AR199" i="1" s="1"/>
  <c r="AQ183" i="1"/>
  <c r="AR183" i="1" s="1" a="1"/>
  <c r="AR183" i="1" s="1"/>
  <c r="AQ167" i="1"/>
  <c r="AR167" i="1" s="1" a="1"/>
  <c r="AR167" i="1" s="1"/>
  <c r="AQ151" i="1"/>
  <c r="AR151" i="1" s="1" a="1"/>
  <c r="AR151" i="1" s="1"/>
  <c r="AQ135" i="1"/>
  <c r="AR135" i="1" s="1" a="1"/>
  <c r="AR135" i="1" s="1"/>
  <c r="AQ119" i="1"/>
  <c r="AR119" i="1" s="1" a="1"/>
  <c r="AR119" i="1" s="1"/>
  <c r="AQ103" i="1"/>
  <c r="AR103" i="1" s="1" a="1"/>
  <c r="AR103" i="1" s="1"/>
  <c r="AQ87" i="1"/>
  <c r="AR87" i="1" s="1" a="1"/>
  <c r="AR87" i="1" s="1"/>
  <c r="AQ71" i="1"/>
  <c r="AR71" i="1" s="1" a="1"/>
  <c r="AR71" i="1" s="1"/>
  <c r="AQ55" i="1"/>
  <c r="AR55" i="1" s="1" a="1"/>
  <c r="AR55" i="1" s="1"/>
  <c r="AQ39" i="1"/>
  <c r="AR39" i="1" s="1" a="1"/>
  <c r="AR39" i="1" s="1"/>
  <c r="AQ23" i="1"/>
  <c r="AR23" i="1" s="1" a="1"/>
  <c r="AR23" i="1" s="1"/>
  <c r="AQ7" i="1"/>
  <c r="AR7" i="1" s="1" a="1"/>
  <c r="AR7" i="1" s="1"/>
  <c r="AQ230" i="1"/>
  <c r="AR230" i="1" s="1" a="1"/>
  <c r="AR230" i="1" s="1"/>
  <c r="AQ214" i="1"/>
  <c r="AR214" i="1" s="1" a="1"/>
  <c r="AR214" i="1" s="1"/>
  <c r="AQ198" i="1"/>
  <c r="AR198" i="1" s="1" a="1"/>
  <c r="AR198" i="1" s="1"/>
  <c r="AQ182" i="1"/>
  <c r="AR182" i="1" s="1" a="1"/>
  <c r="AR182" i="1" s="1"/>
  <c r="AQ166" i="1"/>
  <c r="AR166" i="1" s="1" a="1"/>
  <c r="AR166" i="1" s="1"/>
  <c r="AQ150" i="1"/>
  <c r="AR150" i="1" s="1" a="1"/>
  <c r="AR150" i="1" s="1"/>
  <c r="AQ134" i="1"/>
  <c r="AR134" i="1" s="1" a="1"/>
  <c r="AR134" i="1" s="1"/>
  <c r="AQ118" i="1"/>
  <c r="AR118" i="1" s="1" a="1"/>
  <c r="AR118" i="1" s="1"/>
  <c r="AQ102" i="1"/>
  <c r="AR102" i="1" s="1" a="1"/>
  <c r="AR102" i="1" s="1"/>
  <c r="AQ86" i="1"/>
  <c r="AR86" i="1" s="1" a="1"/>
  <c r="AR86" i="1" s="1"/>
  <c r="AQ70" i="1"/>
  <c r="AR70" i="1" s="1" a="1"/>
  <c r="AR70" i="1" s="1"/>
  <c r="AQ54" i="1"/>
  <c r="AR54" i="1" s="1" a="1"/>
  <c r="AR54" i="1" s="1"/>
  <c r="AQ38" i="1"/>
  <c r="AR38" i="1" s="1" a="1"/>
  <c r="AR38" i="1" s="1"/>
  <c r="AQ22" i="1"/>
  <c r="AR22" i="1" s="1" a="1"/>
  <c r="AR22" i="1" s="1"/>
  <c r="AT3" i="1"/>
  <c r="AC171" i="1"/>
  <c r="AC201" i="1"/>
  <c r="AC170" i="1"/>
  <c r="AC204" i="1"/>
  <c r="AC91" i="1"/>
  <c r="AC205" i="1"/>
  <c r="AC90" i="1"/>
  <c r="AC89" i="1"/>
  <c r="AC86" i="1"/>
  <c r="AC203" i="1"/>
  <c r="AC54" i="1"/>
  <c r="AC44" i="1"/>
  <c r="AC43" i="1"/>
  <c r="AC202" i="1"/>
  <c r="AD11" i="1"/>
  <c r="AE11" i="1" s="1" a="1"/>
  <c r="AE11" i="1" s="1"/>
  <c r="AC169" i="1"/>
  <c r="AC42" i="1"/>
  <c r="AC41" i="1"/>
  <c r="AC241" i="1"/>
  <c r="AC161" i="1"/>
  <c r="AD249" i="1"/>
  <c r="AE249" i="1" s="1" a="1"/>
  <c r="AE249" i="1" s="1"/>
  <c r="AC166" i="1"/>
  <c r="AC237" i="1"/>
  <c r="AC137" i="1"/>
  <c r="AD234" i="1"/>
  <c r="AE234" i="1" s="1" a="1"/>
  <c r="AE234" i="1" s="1"/>
  <c r="AC236" i="1"/>
  <c r="AC134" i="1"/>
  <c r="AD233" i="1"/>
  <c r="AE233" i="1" s="1" a="1"/>
  <c r="AE233" i="1" s="1"/>
  <c r="AC235" i="1"/>
  <c r="AC129" i="1"/>
  <c r="AD121" i="1"/>
  <c r="AE121" i="1" s="1" a="1"/>
  <c r="AE121" i="1" s="1"/>
  <c r="AC125" i="1"/>
  <c r="AD106" i="1"/>
  <c r="AE106" i="1" s="1" a="1"/>
  <c r="AE106" i="1" s="1"/>
  <c r="AC234" i="1"/>
  <c r="AC233" i="1"/>
  <c r="AC124" i="1"/>
  <c r="AD105" i="1"/>
  <c r="AE105" i="1" s="1" a="1"/>
  <c r="AE105" i="1" s="1"/>
  <c r="AC220" i="1"/>
  <c r="AC92" i="1"/>
  <c r="AD218" i="1"/>
  <c r="AE218" i="1" s="1" a="1"/>
  <c r="AE218" i="1" s="1"/>
  <c r="AD90" i="1"/>
  <c r="AE90" i="1" s="1" a="1"/>
  <c r="AE90" i="1" s="1"/>
  <c r="AD217" i="1"/>
  <c r="AE217" i="1" s="1" a="1"/>
  <c r="AE217" i="1" s="1"/>
  <c r="AD89" i="1"/>
  <c r="AE89" i="1" s="1" a="1"/>
  <c r="AE89" i="1" s="1"/>
  <c r="AC198" i="1"/>
  <c r="AC157" i="1"/>
  <c r="AC123" i="1"/>
  <c r="AC77" i="1"/>
  <c r="AC38" i="1"/>
  <c r="AD202" i="1"/>
  <c r="AE202" i="1" s="1" a="1"/>
  <c r="AE202" i="1" s="1"/>
  <c r="AD74" i="1"/>
  <c r="AE74" i="1" s="1" a="1"/>
  <c r="AE74" i="1" s="1"/>
  <c r="AC232" i="1"/>
  <c r="AC193" i="1"/>
  <c r="AC156" i="1"/>
  <c r="AC122" i="1"/>
  <c r="AC76" i="1"/>
  <c r="AC28" i="1"/>
  <c r="AD201" i="1"/>
  <c r="AE201" i="1" s="1" a="1"/>
  <c r="AE201" i="1" s="1"/>
  <c r="AD73" i="1"/>
  <c r="AE73" i="1" s="1" a="1"/>
  <c r="AE73" i="1" s="1"/>
  <c r="AC230" i="1"/>
  <c r="AC189" i="1"/>
  <c r="AC155" i="1"/>
  <c r="AC121" i="1"/>
  <c r="AC75" i="1"/>
  <c r="AC27" i="1"/>
  <c r="AD186" i="1"/>
  <c r="AE186" i="1" s="1" a="1"/>
  <c r="AE186" i="1" s="1"/>
  <c r="AD58" i="1"/>
  <c r="AE58" i="1" s="1" a="1"/>
  <c r="AE58" i="1" s="1"/>
  <c r="AC256" i="1"/>
  <c r="AC225" i="1"/>
  <c r="AC188" i="1"/>
  <c r="AC154" i="1"/>
  <c r="AC118" i="1"/>
  <c r="AC74" i="1"/>
  <c r="AC26" i="1"/>
  <c r="AD185" i="1"/>
  <c r="AE185" i="1" s="1" a="1"/>
  <c r="AE185" i="1" s="1"/>
  <c r="AD57" i="1"/>
  <c r="AE57" i="1" s="1" a="1"/>
  <c r="AE57" i="1" s="1"/>
  <c r="AC253" i="1"/>
  <c r="AC221" i="1"/>
  <c r="AC187" i="1"/>
  <c r="AC153" i="1"/>
  <c r="AC109" i="1"/>
  <c r="AC73" i="1"/>
  <c r="AC25" i="1"/>
  <c r="AD170" i="1"/>
  <c r="AE170" i="1" s="1" a="1"/>
  <c r="AE170" i="1" s="1"/>
  <c r="AD42" i="1"/>
  <c r="AE42" i="1" s="1" a="1"/>
  <c r="AE42" i="1" s="1"/>
  <c r="AC186" i="1"/>
  <c r="AC150" i="1"/>
  <c r="AC108" i="1"/>
  <c r="AC70" i="1"/>
  <c r="AC22" i="1"/>
  <c r="AD169" i="1"/>
  <c r="AE169" i="1" s="1" a="1"/>
  <c r="AE169" i="1" s="1"/>
  <c r="AD41" i="1"/>
  <c r="AE41" i="1" s="1" a="1"/>
  <c r="AE41" i="1" s="1"/>
  <c r="AC252" i="1"/>
  <c r="AC251" i="1"/>
  <c r="AC219" i="1"/>
  <c r="AC185" i="1"/>
  <c r="AC145" i="1"/>
  <c r="AC107" i="1"/>
  <c r="AC61" i="1"/>
  <c r="AC12" i="1"/>
  <c r="AD154" i="1"/>
  <c r="AE154" i="1" s="1" a="1"/>
  <c r="AE154" i="1" s="1"/>
  <c r="AD26" i="1"/>
  <c r="AE26" i="1" s="1" a="1"/>
  <c r="AE26" i="1" s="1"/>
  <c r="AC250" i="1"/>
  <c r="AC218" i="1"/>
  <c r="AC182" i="1"/>
  <c r="AC141" i="1"/>
  <c r="AC106" i="1"/>
  <c r="AC60" i="1"/>
  <c r="AC11" i="1"/>
  <c r="AD153" i="1"/>
  <c r="AE153" i="1" s="1" a="1"/>
  <c r="AE153" i="1" s="1"/>
  <c r="AD25" i="1"/>
  <c r="AE25" i="1" s="1" a="1"/>
  <c r="AE25" i="1" s="1"/>
  <c r="AC249" i="1"/>
  <c r="AC217" i="1"/>
  <c r="AC177" i="1"/>
  <c r="AC140" i="1"/>
  <c r="AC105" i="1"/>
  <c r="AC59" i="1"/>
  <c r="AC9" i="1"/>
  <c r="AD138" i="1"/>
  <c r="AE138" i="1" s="1" a="1"/>
  <c r="AE138" i="1" s="1"/>
  <c r="AD10" i="1"/>
  <c r="AE10" i="1" s="1" a="1"/>
  <c r="AE10" i="1" s="1"/>
  <c r="AC248" i="1"/>
  <c r="AC214" i="1"/>
  <c r="AC173" i="1"/>
  <c r="AC139" i="1"/>
  <c r="AC102" i="1"/>
  <c r="AC58" i="1"/>
  <c r="AC6" i="1"/>
  <c r="AD137" i="1"/>
  <c r="AE137" i="1" s="1" a="1"/>
  <c r="AE137" i="1" s="1"/>
  <c r="AD9" i="1"/>
  <c r="AE9" i="1" s="1" a="1"/>
  <c r="AE9" i="1" s="1"/>
  <c r="AC246" i="1"/>
  <c r="AC209" i="1"/>
  <c r="AC172" i="1"/>
  <c r="AC138" i="1"/>
  <c r="AC93" i="1"/>
  <c r="AC57" i="1"/>
  <c r="AD250" i="1"/>
  <c r="AE250" i="1" s="1" a="1"/>
  <c r="AE250" i="1" s="1"/>
  <c r="AD122" i="1"/>
  <c r="AE122" i="1" s="1" a="1"/>
  <c r="AE122" i="1" s="1"/>
  <c r="AC10" i="1"/>
  <c r="AD248" i="1"/>
  <c r="AE248" i="1" s="1" a="1"/>
  <c r="AE248" i="1" s="1"/>
  <c r="AD232" i="1"/>
  <c r="AE232" i="1" s="1" a="1"/>
  <c r="AE232" i="1" s="1"/>
  <c r="AD216" i="1"/>
  <c r="AE216" i="1" s="1" a="1"/>
  <c r="AE216" i="1" s="1"/>
  <c r="AD200" i="1"/>
  <c r="AE200" i="1" s="1" a="1"/>
  <c r="AE200" i="1" s="1"/>
  <c r="AD184" i="1"/>
  <c r="AE184" i="1" s="1" a="1"/>
  <c r="AE184" i="1" s="1"/>
  <c r="AD168" i="1"/>
  <c r="AE168" i="1" s="1" a="1"/>
  <c r="AE168" i="1" s="1"/>
  <c r="AD152" i="1"/>
  <c r="AE152" i="1" s="1" a="1"/>
  <c r="AE152" i="1" s="1"/>
  <c r="AD136" i="1"/>
  <c r="AE136" i="1" s="1" a="1"/>
  <c r="AE136" i="1" s="1"/>
  <c r="AD120" i="1"/>
  <c r="AE120" i="1" s="1" a="1"/>
  <c r="AE120" i="1" s="1"/>
  <c r="AD104" i="1"/>
  <c r="AE104" i="1" s="1" a="1"/>
  <c r="AE104" i="1" s="1"/>
  <c r="AD88" i="1"/>
  <c r="AE88" i="1" s="1" a="1"/>
  <c r="AE88" i="1" s="1"/>
  <c r="AD72" i="1"/>
  <c r="AE72" i="1" s="1" a="1"/>
  <c r="AE72" i="1" s="1"/>
  <c r="AD56" i="1"/>
  <c r="AE56" i="1" s="1" a="1"/>
  <c r="AE56" i="1" s="1"/>
  <c r="AD40" i="1"/>
  <c r="AE40" i="1" s="1" a="1"/>
  <c r="AE40" i="1" s="1"/>
  <c r="AD24" i="1"/>
  <c r="AE24" i="1" s="1" a="1"/>
  <c r="AE24" i="1" s="1"/>
  <c r="AD8" i="1"/>
  <c r="AE8" i="1" s="1" a="1"/>
  <c r="AE8" i="1" s="1"/>
  <c r="AD247" i="1"/>
  <c r="AE247" i="1" s="1" a="1"/>
  <c r="AE247" i="1" s="1"/>
  <c r="AD231" i="1"/>
  <c r="AE231" i="1" s="1" a="1"/>
  <c r="AE231" i="1" s="1"/>
  <c r="AD215" i="1"/>
  <c r="AE215" i="1" s="1" a="1"/>
  <c r="AE215" i="1" s="1"/>
  <c r="AD199" i="1"/>
  <c r="AE199" i="1" s="1" a="1"/>
  <c r="AE199" i="1" s="1"/>
  <c r="AD183" i="1"/>
  <c r="AE183" i="1" s="1" a="1"/>
  <c r="AE183" i="1" s="1"/>
  <c r="AD167" i="1"/>
  <c r="AE167" i="1" s="1" a="1"/>
  <c r="AE167" i="1" s="1"/>
  <c r="AD151" i="1"/>
  <c r="AE151" i="1" s="1" a="1"/>
  <c r="AE151" i="1" s="1"/>
  <c r="AD135" i="1"/>
  <c r="AE135" i="1" s="1" a="1"/>
  <c r="AE135" i="1" s="1"/>
  <c r="AD119" i="1"/>
  <c r="AE119" i="1" s="1" a="1"/>
  <c r="AE119" i="1" s="1"/>
  <c r="AD103" i="1"/>
  <c r="AE103" i="1" s="1" a="1"/>
  <c r="AE103" i="1" s="1"/>
  <c r="AD87" i="1"/>
  <c r="AE87" i="1" s="1" a="1"/>
  <c r="AE87" i="1" s="1"/>
  <c r="AD71" i="1"/>
  <c r="AE71" i="1" s="1" a="1"/>
  <c r="AE71" i="1" s="1"/>
  <c r="AD55" i="1"/>
  <c r="AE55" i="1" s="1" a="1"/>
  <c r="AE55" i="1" s="1"/>
  <c r="AD39" i="1"/>
  <c r="AE39" i="1" s="1" a="1"/>
  <c r="AE39" i="1" s="1"/>
  <c r="AD23" i="1"/>
  <c r="AE23" i="1" s="1" a="1"/>
  <c r="AE23" i="1" s="1"/>
  <c r="AD7" i="1"/>
  <c r="AE7" i="1" s="1" a="1"/>
  <c r="AE7" i="1" s="1"/>
  <c r="AC216" i="1"/>
  <c r="AC200" i="1"/>
  <c r="AC184" i="1"/>
  <c r="AC168" i="1"/>
  <c r="AC152" i="1"/>
  <c r="AC136" i="1"/>
  <c r="AC120" i="1"/>
  <c r="AC104" i="1"/>
  <c r="AC88" i="1"/>
  <c r="AC72" i="1"/>
  <c r="AC56" i="1"/>
  <c r="AC40" i="1"/>
  <c r="AC24" i="1"/>
  <c r="AC8" i="1"/>
  <c r="AD246" i="1"/>
  <c r="AE246" i="1" s="1" a="1"/>
  <c r="AE246" i="1" s="1"/>
  <c r="AD230" i="1"/>
  <c r="AE230" i="1" s="1" a="1"/>
  <c r="AE230" i="1" s="1"/>
  <c r="AD214" i="1"/>
  <c r="AE214" i="1" s="1" a="1"/>
  <c r="AE214" i="1" s="1"/>
  <c r="AD198" i="1"/>
  <c r="AE198" i="1" s="1" a="1"/>
  <c r="AE198" i="1" s="1"/>
  <c r="AD182" i="1"/>
  <c r="AE182" i="1" s="1" a="1"/>
  <c r="AE182" i="1" s="1"/>
  <c r="AD166" i="1"/>
  <c r="AE166" i="1" s="1" a="1"/>
  <c r="AE166" i="1" s="1"/>
  <c r="AD150" i="1"/>
  <c r="AE150" i="1" s="1" a="1"/>
  <c r="AE150" i="1" s="1"/>
  <c r="AD134" i="1"/>
  <c r="AE134" i="1" s="1" a="1"/>
  <c r="AE134" i="1" s="1"/>
  <c r="AD118" i="1"/>
  <c r="AE118" i="1" s="1" a="1"/>
  <c r="AE118" i="1" s="1"/>
  <c r="AD102" i="1"/>
  <c r="AE102" i="1" s="1" a="1"/>
  <c r="AE102" i="1" s="1"/>
  <c r="AD86" i="1"/>
  <c r="AE86" i="1" s="1" a="1"/>
  <c r="AE86" i="1" s="1"/>
  <c r="AD70" i="1"/>
  <c r="AE70" i="1" s="1" a="1"/>
  <c r="AE70" i="1" s="1"/>
  <c r="AD54" i="1"/>
  <c r="AE54" i="1" s="1" a="1"/>
  <c r="AE54" i="1" s="1"/>
  <c r="AD38" i="1"/>
  <c r="AE38" i="1" s="1" a="1"/>
  <c r="AE38" i="1" s="1"/>
  <c r="AD22" i="1"/>
  <c r="AE22" i="1" s="1" a="1"/>
  <c r="AE22" i="1" s="1"/>
  <c r="AD6" i="1"/>
  <c r="AE6" i="1" s="1" a="1"/>
  <c r="AE6" i="1" s="1"/>
  <c r="AC247" i="1"/>
  <c r="AC231" i="1"/>
  <c r="AC215" i="1"/>
  <c r="AC199" i="1"/>
  <c r="AC183" i="1"/>
  <c r="AC167" i="1"/>
  <c r="AC151" i="1"/>
  <c r="AC135" i="1"/>
  <c r="AC119" i="1"/>
  <c r="AC103" i="1"/>
  <c r="AC87" i="1"/>
  <c r="AC71" i="1"/>
  <c r="AC55" i="1"/>
  <c r="AC39" i="1"/>
  <c r="AC23" i="1"/>
  <c r="AC7" i="1"/>
  <c r="AD245" i="1"/>
  <c r="AE245" i="1" s="1" a="1"/>
  <c r="AE245" i="1" s="1"/>
  <c r="AD229" i="1"/>
  <c r="AE229" i="1" s="1" a="1"/>
  <c r="AE229" i="1" s="1"/>
  <c r="AD213" i="1"/>
  <c r="AE213" i="1" s="1" a="1"/>
  <c r="AE213" i="1" s="1"/>
  <c r="AD197" i="1"/>
  <c r="AE197" i="1" s="1" a="1"/>
  <c r="AE197" i="1" s="1"/>
  <c r="AD181" i="1"/>
  <c r="AE181" i="1" s="1" a="1"/>
  <c r="AE181" i="1" s="1"/>
  <c r="AD165" i="1"/>
  <c r="AE165" i="1" s="1" a="1"/>
  <c r="AE165" i="1" s="1"/>
  <c r="AD149" i="1"/>
  <c r="AE149" i="1" s="1" a="1"/>
  <c r="AE149" i="1" s="1"/>
  <c r="AD133" i="1"/>
  <c r="AE133" i="1" s="1" a="1"/>
  <c r="AE133" i="1" s="1"/>
  <c r="AD117" i="1"/>
  <c r="AE117" i="1" s="1" a="1"/>
  <c r="AE117" i="1" s="1"/>
  <c r="AD101" i="1"/>
  <c r="AE101" i="1" s="1" a="1"/>
  <c r="AE101" i="1" s="1"/>
  <c r="AD85" i="1"/>
  <c r="AE85" i="1" s="1" a="1"/>
  <c r="AE85" i="1" s="1"/>
  <c r="AD69" i="1"/>
  <c r="AE69" i="1" s="1" a="1"/>
  <c r="AE69" i="1" s="1"/>
  <c r="AD53" i="1"/>
  <c r="AE53" i="1" s="1" a="1"/>
  <c r="AE53" i="1" s="1"/>
  <c r="AD37" i="1"/>
  <c r="AE37" i="1" s="1" a="1"/>
  <c r="AE37" i="1" s="1"/>
  <c r="AD21" i="1"/>
  <c r="AE21" i="1" s="1" a="1"/>
  <c r="AE21" i="1" s="1"/>
  <c r="AD5" i="1"/>
  <c r="AE5" i="1" s="1" a="1"/>
  <c r="AE5" i="1" s="1"/>
  <c r="AD244" i="1"/>
  <c r="AE244" i="1" s="1" a="1"/>
  <c r="AE244" i="1" s="1"/>
  <c r="AD228" i="1"/>
  <c r="AE228" i="1" s="1" a="1"/>
  <c r="AE228" i="1" s="1"/>
  <c r="AD212" i="1"/>
  <c r="AE212" i="1" s="1" a="1"/>
  <c r="AE212" i="1" s="1"/>
  <c r="AD196" i="1"/>
  <c r="AE196" i="1" s="1" a="1"/>
  <c r="AE196" i="1" s="1"/>
  <c r="AD180" i="1"/>
  <c r="AE180" i="1" s="1" a="1"/>
  <c r="AE180" i="1" s="1"/>
  <c r="AD164" i="1"/>
  <c r="AE164" i="1" s="1" a="1"/>
  <c r="AE164" i="1" s="1"/>
  <c r="AD148" i="1"/>
  <c r="AE148" i="1" s="1" a="1"/>
  <c r="AE148" i="1" s="1"/>
  <c r="AD132" i="1"/>
  <c r="AE132" i="1" s="1" a="1"/>
  <c r="AE132" i="1" s="1"/>
  <c r="AD116" i="1"/>
  <c r="AE116" i="1" s="1" a="1"/>
  <c r="AE116" i="1" s="1"/>
  <c r="AD100" i="1"/>
  <c r="AE100" i="1" s="1" a="1"/>
  <c r="AE100" i="1" s="1"/>
  <c r="AD84" i="1"/>
  <c r="AE84" i="1" s="1" a="1"/>
  <c r="AE84" i="1" s="1"/>
  <c r="AD68" i="1"/>
  <c r="AE68" i="1" s="1" a="1"/>
  <c r="AE68" i="1" s="1"/>
  <c r="AD52" i="1"/>
  <c r="AE52" i="1" s="1" a="1"/>
  <c r="AE52" i="1" s="1"/>
  <c r="AD36" i="1"/>
  <c r="AE36" i="1" s="1" a="1"/>
  <c r="AE36" i="1" s="1"/>
  <c r="AD20" i="1"/>
  <c r="AE20" i="1" s="1" a="1"/>
  <c r="AE20" i="1" s="1"/>
  <c r="AD4" i="1"/>
  <c r="AE4" i="1" s="1" a="1"/>
  <c r="AE4" i="1" s="1"/>
  <c r="AC245" i="1"/>
  <c r="AC229" i="1"/>
  <c r="AC213" i="1"/>
  <c r="AC197" i="1"/>
  <c r="AC181" i="1"/>
  <c r="AC165" i="1"/>
  <c r="AC149" i="1"/>
  <c r="AC133" i="1"/>
  <c r="AC117" i="1"/>
  <c r="AC101" i="1"/>
  <c r="AC85" i="1"/>
  <c r="AC69" i="1"/>
  <c r="AC53" i="1"/>
  <c r="AC37" i="1"/>
  <c r="AC21" i="1"/>
  <c r="AC5" i="1"/>
  <c r="AD243" i="1"/>
  <c r="AE243" i="1" s="1" a="1"/>
  <c r="AE243" i="1" s="1"/>
  <c r="AD227" i="1"/>
  <c r="AE227" i="1" s="1" a="1"/>
  <c r="AE227" i="1" s="1"/>
  <c r="AD211" i="1"/>
  <c r="AE211" i="1" s="1" a="1"/>
  <c r="AE211" i="1" s="1"/>
  <c r="AD195" i="1"/>
  <c r="AE195" i="1" s="1" a="1"/>
  <c r="AE195" i="1" s="1"/>
  <c r="AD179" i="1"/>
  <c r="AE179" i="1" s="1" a="1"/>
  <c r="AE179" i="1" s="1"/>
  <c r="AD163" i="1"/>
  <c r="AE163" i="1" s="1" a="1"/>
  <c r="AE163" i="1" s="1"/>
  <c r="AD147" i="1"/>
  <c r="AE147" i="1" s="1" a="1"/>
  <c r="AE147" i="1" s="1"/>
  <c r="AD131" i="1"/>
  <c r="AE131" i="1" s="1" a="1"/>
  <c r="AE131" i="1" s="1"/>
  <c r="AD115" i="1"/>
  <c r="AE115" i="1" s="1" a="1"/>
  <c r="AE115" i="1" s="1"/>
  <c r="AD99" i="1"/>
  <c r="AE99" i="1" s="1" a="1"/>
  <c r="AE99" i="1" s="1"/>
  <c r="AD83" i="1"/>
  <c r="AE83" i="1" s="1" a="1"/>
  <c r="AE83" i="1" s="1"/>
  <c r="AD67" i="1"/>
  <c r="AE67" i="1" s="1" a="1"/>
  <c r="AE67" i="1" s="1"/>
  <c r="AD51" i="1"/>
  <c r="AE51" i="1" s="1" a="1"/>
  <c r="AE51" i="1" s="1"/>
  <c r="AD35" i="1"/>
  <c r="AE35" i="1" s="1" a="1"/>
  <c r="AE35" i="1" s="1"/>
  <c r="AD19" i="1"/>
  <c r="AE19" i="1" s="1" a="1"/>
  <c r="AE19" i="1" s="1"/>
  <c r="AD3" i="1"/>
  <c r="AE3" i="1" s="1" a="1"/>
  <c r="AE3" i="1" s="1"/>
  <c r="AC244" i="1"/>
  <c r="AC228" i="1"/>
  <c r="AC212" i="1"/>
  <c r="AC196" i="1"/>
  <c r="AC180" i="1"/>
  <c r="AC164" i="1"/>
  <c r="AC148" i="1"/>
  <c r="AC132" i="1"/>
  <c r="AC116" i="1"/>
  <c r="AC100" i="1"/>
  <c r="AC84" i="1"/>
  <c r="AC68" i="1"/>
  <c r="AC52" i="1"/>
  <c r="AC36" i="1"/>
  <c r="AC20" i="1"/>
  <c r="AC4" i="1"/>
  <c r="AD242" i="1"/>
  <c r="AE242" i="1" s="1" a="1"/>
  <c r="AE242" i="1" s="1"/>
  <c r="AD226" i="1"/>
  <c r="AE226" i="1" s="1" a="1"/>
  <c r="AE226" i="1" s="1"/>
  <c r="AD210" i="1"/>
  <c r="AE210" i="1" s="1" a="1"/>
  <c r="AE210" i="1" s="1"/>
  <c r="AD194" i="1"/>
  <c r="AE194" i="1" s="1" a="1"/>
  <c r="AE194" i="1" s="1"/>
  <c r="AD178" i="1"/>
  <c r="AE178" i="1" s="1" a="1"/>
  <c r="AE178" i="1" s="1"/>
  <c r="AD162" i="1"/>
  <c r="AE162" i="1" s="1" a="1"/>
  <c r="AE162" i="1" s="1"/>
  <c r="AD146" i="1"/>
  <c r="AE146" i="1" s="1" a="1"/>
  <c r="AE146" i="1" s="1"/>
  <c r="AD130" i="1"/>
  <c r="AE130" i="1" s="1" a="1"/>
  <c r="AE130" i="1" s="1"/>
  <c r="AD114" i="1"/>
  <c r="AE114" i="1" s="1" a="1"/>
  <c r="AE114" i="1" s="1"/>
  <c r="AD98" i="1"/>
  <c r="AE98" i="1" s="1" a="1"/>
  <c r="AE98" i="1" s="1"/>
  <c r="AD82" i="1"/>
  <c r="AE82" i="1" s="1" a="1"/>
  <c r="AE82" i="1" s="1"/>
  <c r="AD66" i="1"/>
  <c r="AE66" i="1" s="1" a="1"/>
  <c r="AE66" i="1" s="1"/>
  <c r="AD50" i="1"/>
  <c r="AE50" i="1" s="1" a="1"/>
  <c r="AE50" i="1" s="1"/>
  <c r="AD34" i="1"/>
  <c r="AE34" i="1" s="1" a="1"/>
  <c r="AE34" i="1" s="1"/>
  <c r="AD18" i="1"/>
  <c r="AE18" i="1" s="1" a="1"/>
  <c r="AE18" i="1" s="1"/>
  <c r="AC243" i="1"/>
  <c r="AC227" i="1"/>
  <c r="AC211" i="1"/>
  <c r="AC195" i="1"/>
  <c r="AC179" i="1"/>
  <c r="AC163" i="1"/>
  <c r="AC147" i="1"/>
  <c r="AC131" i="1"/>
  <c r="AC115" i="1"/>
  <c r="AC99" i="1"/>
  <c r="AC83" i="1"/>
  <c r="AC67" i="1"/>
  <c r="AC51" i="1"/>
  <c r="AC35" i="1"/>
  <c r="AC19" i="1"/>
  <c r="AC3" i="1"/>
  <c r="AD241" i="1"/>
  <c r="AE241" i="1" s="1" a="1"/>
  <c r="AE241" i="1" s="1"/>
  <c r="AD225" i="1"/>
  <c r="AE225" i="1" s="1" a="1"/>
  <c r="AE225" i="1" s="1"/>
  <c r="AD209" i="1"/>
  <c r="AE209" i="1" s="1" a="1"/>
  <c r="AE209" i="1" s="1"/>
  <c r="AD193" i="1"/>
  <c r="AE193" i="1" s="1" a="1"/>
  <c r="AE193" i="1" s="1"/>
  <c r="AD177" i="1"/>
  <c r="AE177" i="1" s="1" a="1"/>
  <c r="AE177" i="1" s="1"/>
  <c r="AD161" i="1"/>
  <c r="AE161" i="1" s="1" a="1"/>
  <c r="AE161" i="1" s="1"/>
  <c r="AD145" i="1"/>
  <c r="AE145" i="1" s="1" a="1"/>
  <c r="AE145" i="1" s="1"/>
  <c r="AD129" i="1"/>
  <c r="AE129" i="1" s="1" a="1"/>
  <c r="AE129" i="1" s="1"/>
  <c r="AD113" i="1"/>
  <c r="AE113" i="1" s="1" a="1"/>
  <c r="AE113" i="1" s="1"/>
  <c r="AD97" i="1"/>
  <c r="AE97" i="1" s="1" a="1"/>
  <c r="AE97" i="1" s="1"/>
  <c r="AD81" i="1"/>
  <c r="AE81" i="1" s="1" a="1"/>
  <c r="AE81" i="1" s="1"/>
  <c r="AD65" i="1"/>
  <c r="AE65" i="1" s="1" a="1"/>
  <c r="AE65" i="1" s="1"/>
  <c r="AD49" i="1"/>
  <c r="AE49" i="1" s="1" a="1"/>
  <c r="AE49" i="1" s="1"/>
  <c r="AD33" i="1"/>
  <c r="AE33" i="1" s="1" a="1"/>
  <c r="AE33" i="1" s="1"/>
  <c r="AD17" i="1"/>
  <c r="AE17" i="1" s="1" a="1"/>
  <c r="AE17" i="1" s="1"/>
  <c r="AC2" i="1"/>
  <c r="AC242" i="1"/>
  <c r="AC226" i="1"/>
  <c r="AC210" i="1"/>
  <c r="AC194" i="1"/>
  <c r="AC178" i="1"/>
  <c r="AC162" i="1"/>
  <c r="AC146" i="1"/>
  <c r="AC130" i="1"/>
  <c r="AC114" i="1"/>
  <c r="AC98" i="1"/>
  <c r="AC82" i="1"/>
  <c r="AC66" i="1"/>
  <c r="AC50" i="1"/>
  <c r="AC34" i="1"/>
  <c r="AC18" i="1"/>
  <c r="AD256" i="1"/>
  <c r="AE256" i="1" s="1" a="1"/>
  <c r="AE256" i="1" s="1"/>
  <c r="AD240" i="1"/>
  <c r="AE240" i="1" s="1" a="1"/>
  <c r="AE240" i="1" s="1"/>
  <c r="AD224" i="1"/>
  <c r="AE224" i="1" s="1" a="1"/>
  <c r="AE224" i="1" s="1"/>
  <c r="AD208" i="1"/>
  <c r="AE208" i="1" s="1" a="1"/>
  <c r="AE208" i="1" s="1"/>
  <c r="AD192" i="1"/>
  <c r="AE192" i="1" s="1" a="1"/>
  <c r="AE192" i="1" s="1"/>
  <c r="AD176" i="1"/>
  <c r="AE176" i="1" s="1" a="1"/>
  <c r="AE176" i="1" s="1"/>
  <c r="AD160" i="1"/>
  <c r="AE160" i="1" s="1" a="1"/>
  <c r="AE160" i="1" s="1"/>
  <c r="AD144" i="1"/>
  <c r="AE144" i="1" s="1" a="1"/>
  <c r="AE144" i="1" s="1"/>
  <c r="AD128" i="1"/>
  <c r="AE128" i="1" s="1" a="1"/>
  <c r="AE128" i="1" s="1"/>
  <c r="AD112" i="1"/>
  <c r="AE112" i="1" s="1" a="1"/>
  <c r="AE112" i="1" s="1"/>
  <c r="AD96" i="1"/>
  <c r="AE96" i="1" s="1" a="1"/>
  <c r="AE96" i="1" s="1"/>
  <c r="AD80" i="1"/>
  <c r="AE80" i="1" s="1" a="1"/>
  <c r="AE80" i="1" s="1"/>
  <c r="AD64" i="1"/>
  <c r="AE64" i="1" s="1" a="1"/>
  <c r="AE64" i="1" s="1"/>
  <c r="AD48" i="1"/>
  <c r="AE48" i="1" s="1" a="1"/>
  <c r="AE48" i="1" s="1"/>
  <c r="AD32" i="1"/>
  <c r="AE32" i="1" s="1" a="1"/>
  <c r="AE32" i="1" s="1"/>
  <c r="AD16" i="1"/>
  <c r="AE16" i="1" s="1" a="1"/>
  <c r="AE16" i="1" s="1"/>
  <c r="AD2" i="1"/>
  <c r="AE2" i="1" s="1" a="1"/>
  <c r="AE2" i="1" s="1"/>
  <c r="AC113" i="1"/>
  <c r="AC97" i="1"/>
  <c r="AC81" i="1"/>
  <c r="AC65" i="1"/>
  <c r="AC49" i="1"/>
  <c r="AC33" i="1"/>
  <c r="AC17" i="1"/>
  <c r="AD255" i="1"/>
  <c r="AE255" i="1" s="1" a="1"/>
  <c r="AE255" i="1" s="1"/>
  <c r="AD239" i="1"/>
  <c r="AE239" i="1" s="1" a="1"/>
  <c r="AE239" i="1" s="1"/>
  <c r="AD223" i="1"/>
  <c r="AE223" i="1" s="1" a="1"/>
  <c r="AE223" i="1" s="1"/>
  <c r="AD207" i="1"/>
  <c r="AE207" i="1" s="1" a="1"/>
  <c r="AE207" i="1" s="1"/>
  <c r="AD191" i="1"/>
  <c r="AE191" i="1" s="1" a="1"/>
  <c r="AE191" i="1" s="1"/>
  <c r="AD175" i="1"/>
  <c r="AE175" i="1" s="1" a="1"/>
  <c r="AE175" i="1" s="1"/>
  <c r="AD159" i="1"/>
  <c r="AE159" i="1" s="1" a="1"/>
  <c r="AE159" i="1" s="1"/>
  <c r="AD143" i="1"/>
  <c r="AE143" i="1" s="1" a="1"/>
  <c r="AE143" i="1" s="1"/>
  <c r="AD127" i="1"/>
  <c r="AE127" i="1" s="1" a="1"/>
  <c r="AE127" i="1" s="1"/>
  <c r="AD111" i="1"/>
  <c r="AE111" i="1" s="1" a="1"/>
  <c r="AE111" i="1" s="1"/>
  <c r="AD95" i="1"/>
  <c r="AE95" i="1" s="1" a="1"/>
  <c r="AE95" i="1" s="1"/>
  <c r="AD79" i="1"/>
  <c r="AE79" i="1" s="1" a="1"/>
  <c r="AE79" i="1" s="1"/>
  <c r="AD63" i="1"/>
  <c r="AE63" i="1" s="1" a="1"/>
  <c r="AE63" i="1" s="1"/>
  <c r="AD47" i="1"/>
  <c r="AE47" i="1" s="1" a="1"/>
  <c r="AE47" i="1" s="1"/>
  <c r="AD31" i="1"/>
  <c r="AE31" i="1" s="1" a="1"/>
  <c r="AE31" i="1" s="1"/>
  <c r="AD15" i="1"/>
  <c r="AE15" i="1" s="1" a="1"/>
  <c r="AE15" i="1" s="1"/>
  <c r="AC240" i="1"/>
  <c r="AC224" i="1"/>
  <c r="AC208" i="1"/>
  <c r="AC192" i="1"/>
  <c r="AC176" i="1"/>
  <c r="AC160" i="1"/>
  <c r="AC144" i="1"/>
  <c r="AC128" i="1"/>
  <c r="AC112" i="1"/>
  <c r="AC96" i="1"/>
  <c r="AC80" i="1"/>
  <c r="AC64" i="1"/>
  <c r="AC48" i="1"/>
  <c r="AC32" i="1"/>
  <c r="AC16" i="1"/>
  <c r="AD254" i="1"/>
  <c r="AE254" i="1" s="1" a="1"/>
  <c r="AE254" i="1" s="1"/>
  <c r="AD238" i="1"/>
  <c r="AE238" i="1" s="1" a="1"/>
  <c r="AE238" i="1" s="1"/>
  <c r="AD222" i="1"/>
  <c r="AE222" i="1" s="1" a="1"/>
  <c r="AE222" i="1" s="1"/>
  <c r="AD206" i="1"/>
  <c r="AE206" i="1" s="1" a="1"/>
  <c r="AE206" i="1" s="1"/>
  <c r="AD190" i="1"/>
  <c r="AE190" i="1" s="1" a="1"/>
  <c r="AE190" i="1" s="1"/>
  <c r="AD174" i="1"/>
  <c r="AE174" i="1" s="1" a="1"/>
  <c r="AE174" i="1" s="1"/>
  <c r="AD158" i="1"/>
  <c r="AE158" i="1" s="1" a="1"/>
  <c r="AE158" i="1" s="1"/>
  <c r="AD142" i="1"/>
  <c r="AE142" i="1" s="1" a="1"/>
  <c r="AE142" i="1" s="1"/>
  <c r="AD126" i="1"/>
  <c r="AE126" i="1" s="1" a="1"/>
  <c r="AE126" i="1" s="1"/>
  <c r="AD110" i="1"/>
  <c r="AE110" i="1" s="1" a="1"/>
  <c r="AE110" i="1" s="1"/>
  <c r="AD94" i="1"/>
  <c r="AE94" i="1" s="1" a="1"/>
  <c r="AE94" i="1" s="1"/>
  <c r="AD78" i="1"/>
  <c r="AE78" i="1" s="1" a="1"/>
  <c r="AE78" i="1" s="1"/>
  <c r="AD62" i="1"/>
  <c r="AE62" i="1" s="1" a="1"/>
  <c r="AE62" i="1" s="1"/>
  <c r="AD46" i="1"/>
  <c r="AE46" i="1" s="1" a="1"/>
  <c r="AE46" i="1" s="1"/>
  <c r="AD30" i="1"/>
  <c r="AE30" i="1" s="1" a="1"/>
  <c r="AE30" i="1" s="1"/>
  <c r="AD14" i="1"/>
  <c r="AE14" i="1" s="1" a="1"/>
  <c r="AE14" i="1" s="1"/>
  <c r="AC255" i="1"/>
  <c r="AC239" i="1"/>
  <c r="AC223" i="1"/>
  <c r="AC207" i="1"/>
  <c r="AC191" i="1"/>
  <c r="AC175" i="1"/>
  <c r="AC159" i="1"/>
  <c r="AC143" i="1"/>
  <c r="AC127" i="1"/>
  <c r="AC111" i="1"/>
  <c r="AC95" i="1"/>
  <c r="AC79" i="1"/>
  <c r="AC63" i="1"/>
  <c r="AC47" i="1"/>
  <c r="AC31" i="1"/>
  <c r="AC15" i="1"/>
  <c r="AD253" i="1"/>
  <c r="AE253" i="1" s="1" a="1"/>
  <c r="AE253" i="1" s="1"/>
  <c r="AD237" i="1"/>
  <c r="AE237" i="1" s="1" a="1"/>
  <c r="AE237" i="1" s="1"/>
  <c r="AD221" i="1"/>
  <c r="AE221" i="1" s="1" a="1"/>
  <c r="AE221" i="1" s="1"/>
  <c r="AD205" i="1"/>
  <c r="AE205" i="1" s="1" a="1"/>
  <c r="AE205" i="1" s="1"/>
  <c r="AD189" i="1"/>
  <c r="AE189" i="1" s="1" a="1"/>
  <c r="AE189" i="1" s="1"/>
  <c r="AD173" i="1"/>
  <c r="AE173" i="1" s="1" a="1"/>
  <c r="AE173" i="1" s="1"/>
  <c r="AD157" i="1"/>
  <c r="AE157" i="1" s="1" a="1"/>
  <c r="AE157" i="1" s="1"/>
  <c r="AD141" i="1"/>
  <c r="AE141" i="1" s="1" a="1"/>
  <c r="AE141" i="1" s="1"/>
  <c r="AD125" i="1"/>
  <c r="AE125" i="1" s="1" a="1"/>
  <c r="AE125" i="1" s="1"/>
  <c r="AD109" i="1"/>
  <c r="AE109" i="1" s="1" a="1"/>
  <c r="AE109" i="1" s="1"/>
  <c r="AD93" i="1"/>
  <c r="AE93" i="1" s="1" a="1"/>
  <c r="AE93" i="1" s="1"/>
  <c r="AD77" i="1"/>
  <c r="AE77" i="1" s="1" a="1"/>
  <c r="AE77" i="1" s="1"/>
  <c r="AD61" i="1"/>
  <c r="AE61" i="1" s="1" a="1"/>
  <c r="AE61" i="1" s="1"/>
  <c r="AD45" i="1"/>
  <c r="AE45" i="1" s="1" a="1"/>
  <c r="AE45" i="1" s="1"/>
  <c r="AD29" i="1"/>
  <c r="AE29" i="1" s="1" a="1"/>
  <c r="AE29" i="1" s="1"/>
  <c r="AD13" i="1"/>
  <c r="AE13" i="1" s="1" a="1"/>
  <c r="AE13" i="1" s="1"/>
  <c r="AC254" i="1"/>
  <c r="AC238" i="1"/>
  <c r="AC222" i="1"/>
  <c r="AC206" i="1"/>
  <c r="AC190" i="1"/>
  <c r="AC174" i="1"/>
  <c r="AC158" i="1"/>
  <c r="AC142" i="1"/>
  <c r="AC126" i="1"/>
  <c r="AC110" i="1"/>
  <c r="AC94" i="1"/>
  <c r="AC78" i="1"/>
  <c r="AC62" i="1"/>
  <c r="AC46" i="1"/>
  <c r="AC30" i="1"/>
  <c r="AC14" i="1"/>
  <c r="AD252" i="1"/>
  <c r="AE252" i="1" s="1" a="1"/>
  <c r="AE252" i="1" s="1"/>
  <c r="AD236" i="1"/>
  <c r="AE236" i="1" s="1" a="1"/>
  <c r="AE236" i="1" s="1"/>
  <c r="AD220" i="1"/>
  <c r="AE220" i="1" s="1" a="1"/>
  <c r="AE220" i="1" s="1"/>
  <c r="AD204" i="1"/>
  <c r="AE204" i="1" s="1" a="1"/>
  <c r="AE204" i="1" s="1"/>
  <c r="AD188" i="1"/>
  <c r="AE188" i="1" s="1" a="1"/>
  <c r="AE188" i="1" s="1"/>
  <c r="AD172" i="1"/>
  <c r="AE172" i="1" s="1" a="1"/>
  <c r="AE172" i="1" s="1"/>
  <c r="AD156" i="1"/>
  <c r="AE156" i="1" s="1" a="1"/>
  <c r="AE156" i="1" s="1"/>
  <c r="AD140" i="1"/>
  <c r="AE140" i="1" s="1" a="1"/>
  <c r="AE140" i="1" s="1"/>
  <c r="AD124" i="1"/>
  <c r="AE124" i="1" s="1" a="1"/>
  <c r="AE124" i="1" s="1"/>
  <c r="AD108" i="1"/>
  <c r="AE108" i="1" s="1" a="1"/>
  <c r="AE108" i="1" s="1"/>
  <c r="AD92" i="1"/>
  <c r="AE92" i="1" s="1" a="1"/>
  <c r="AE92" i="1" s="1"/>
  <c r="AD76" i="1"/>
  <c r="AE76" i="1" s="1" a="1"/>
  <c r="AE76" i="1" s="1"/>
  <c r="AD60" i="1"/>
  <c r="AE60" i="1" s="1" a="1"/>
  <c r="AE60" i="1" s="1"/>
  <c r="AD44" i="1"/>
  <c r="AE44" i="1" s="1" a="1"/>
  <c r="AE44" i="1" s="1"/>
  <c r="AD28" i="1"/>
  <c r="AE28" i="1" s="1" a="1"/>
  <c r="AE28" i="1" s="1"/>
  <c r="AD12" i="1"/>
  <c r="AE12" i="1" s="1" a="1"/>
  <c r="AE12" i="1" s="1"/>
  <c r="AC45" i="1"/>
  <c r="AC29" i="1"/>
  <c r="AD251" i="1"/>
  <c r="AE251" i="1" s="1" a="1"/>
  <c r="AE251" i="1" s="1"/>
  <c r="AD235" i="1"/>
  <c r="AE235" i="1" s="1" a="1"/>
  <c r="AE235" i="1" s="1"/>
  <c r="AD219" i="1"/>
  <c r="AE219" i="1" s="1" a="1"/>
  <c r="AE219" i="1" s="1"/>
  <c r="AD203" i="1"/>
  <c r="AE203" i="1" s="1" a="1"/>
  <c r="AE203" i="1" s="1"/>
  <c r="AD187" i="1"/>
  <c r="AE187" i="1" s="1" a="1"/>
  <c r="AE187" i="1" s="1"/>
  <c r="AD171" i="1"/>
  <c r="AE171" i="1" s="1" a="1"/>
  <c r="AE171" i="1" s="1"/>
  <c r="AD155" i="1"/>
  <c r="AE155" i="1" s="1" a="1"/>
  <c r="AE155" i="1" s="1"/>
  <c r="AD139" i="1"/>
  <c r="AE139" i="1" s="1" a="1"/>
  <c r="AE139" i="1" s="1"/>
  <c r="AD123" i="1"/>
  <c r="AE123" i="1" s="1" a="1"/>
  <c r="AE123" i="1" s="1"/>
  <c r="AD107" i="1"/>
  <c r="AE107" i="1" s="1" a="1"/>
  <c r="AE107" i="1" s="1"/>
  <c r="AD91" i="1"/>
  <c r="AE91" i="1" s="1" a="1"/>
  <c r="AE91" i="1" s="1"/>
  <c r="AD75" i="1"/>
  <c r="AE75" i="1" s="1" a="1"/>
  <c r="AE75" i="1" s="1"/>
  <c r="AD59" i="1"/>
  <c r="AE59" i="1" s="1" a="1"/>
  <c r="AE59" i="1" s="1"/>
  <c r="AD43" i="1"/>
  <c r="AE43" i="1" s="1" a="1"/>
  <c r="AE43" i="1" s="1"/>
  <c r="AD27" i="1"/>
  <c r="AE27" i="1" s="1" a="1"/>
  <c r="AE27" i="1" s="1"/>
  <c r="AH3" i="1"/>
  <c r="P227" i="1"/>
  <c r="P210" i="1"/>
  <c r="P184" i="1"/>
  <c r="P161" i="1"/>
  <c r="P156" i="1"/>
  <c r="P157" i="1"/>
  <c r="P155" i="1"/>
  <c r="P83" i="1"/>
  <c r="P154" i="1"/>
  <c r="P153" i="1"/>
  <c r="P129" i="1"/>
  <c r="P93" i="1"/>
  <c r="P75" i="1"/>
  <c r="P219" i="1"/>
  <c r="P67" i="1"/>
  <c r="P218" i="1"/>
  <c r="P66" i="1"/>
  <c r="P217" i="1"/>
  <c r="P57" i="1"/>
  <c r="P216" i="1"/>
  <c r="P43" i="1"/>
  <c r="P211" i="1"/>
  <c r="P130" i="1"/>
  <c r="P44" i="1"/>
  <c r="O64" i="1"/>
  <c r="P209" i="1"/>
  <c r="P125" i="1"/>
  <c r="P42" i="1"/>
  <c r="P187" i="1"/>
  <c r="P124" i="1"/>
  <c r="P41" i="1"/>
  <c r="P186" i="1"/>
  <c r="P114" i="1"/>
  <c r="P40" i="1"/>
  <c r="P185" i="1"/>
  <c r="P105" i="1"/>
  <c r="P35" i="1"/>
  <c r="P104" i="1"/>
  <c r="P25" i="1"/>
  <c r="P179" i="1"/>
  <c r="P99" i="1"/>
  <c r="P12" i="1"/>
  <c r="P171" i="1"/>
  <c r="P98" i="1"/>
  <c r="P11" i="1"/>
  <c r="P162" i="1"/>
  <c r="P97" i="1"/>
  <c r="P10" i="1"/>
  <c r="P201" i="1"/>
  <c r="P141" i="1"/>
  <c r="P74" i="1"/>
  <c r="P9" i="1"/>
  <c r="D5" i="1"/>
  <c r="E5" i="1" s="1" a="1"/>
  <c r="E5" i="1" s="1"/>
  <c r="P189" i="1"/>
  <c r="P136" i="1"/>
  <c r="P73" i="1"/>
  <c r="P8" i="1"/>
  <c r="P188" i="1"/>
  <c r="P131" i="1"/>
  <c r="P72" i="1"/>
  <c r="P3" i="1"/>
  <c r="P123" i="1"/>
  <c r="P92" i="1"/>
  <c r="P65" i="1"/>
  <c r="P34" i="1"/>
  <c r="P205" i="1"/>
  <c r="P178" i="1"/>
  <c r="P152" i="1"/>
  <c r="P122" i="1"/>
  <c r="P91" i="1"/>
  <c r="P61" i="1"/>
  <c r="P29" i="1"/>
  <c r="P204" i="1"/>
  <c r="P177" i="1"/>
  <c r="P147" i="1"/>
  <c r="P121" i="1"/>
  <c r="P90" i="1"/>
  <c r="P60" i="1"/>
  <c r="P28" i="1"/>
  <c r="P203" i="1"/>
  <c r="P173" i="1"/>
  <c r="P146" i="1"/>
  <c r="P120" i="1"/>
  <c r="P89" i="1"/>
  <c r="P59" i="1"/>
  <c r="P27" i="1"/>
  <c r="P202" i="1"/>
  <c r="P172" i="1"/>
  <c r="P145" i="1"/>
  <c r="P115" i="1"/>
  <c r="P88" i="1"/>
  <c r="P58" i="1"/>
  <c r="P26" i="1"/>
  <c r="P226" i="1"/>
  <c r="P200" i="1"/>
  <c r="P170" i="1"/>
  <c r="P140" i="1"/>
  <c r="P109" i="1"/>
  <c r="P82" i="1"/>
  <c r="P56" i="1"/>
  <c r="P24" i="1"/>
  <c r="O47" i="1"/>
  <c r="O70" i="1" s="1"/>
  <c r="P225" i="1"/>
  <c r="P195" i="1"/>
  <c r="P169" i="1"/>
  <c r="P139" i="1"/>
  <c r="P108" i="1"/>
  <c r="P81" i="1"/>
  <c r="P51" i="1"/>
  <c r="P19" i="1"/>
  <c r="P221" i="1"/>
  <c r="P194" i="1"/>
  <c r="P168" i="1"/>
  <c r="P138" i="1"/>
  <c r="P107" i="1"/>
  <c r="P77" i="1"/>
  <c r="P50" i="1"/>
  <c r="P18" i="1"/>
  <c r="P220" i="1"/>
  <c r="P193" i="1"/>
  <c r="P163" i="1"/>
  <c r="P137" i="1"/>
  <c r="P106" i="1"/>
  <c r="P76" i="1"/>
  <c r="P45" i="1"/>
  <c r="P13" i="1"/>
  <c r="P215" i="1"/>
  <c r="P199" i="1"/>
  <c r="P183" i="1"/>
  <c r="P167" i="1"/>
  <c r="P151" i="1"/>
  <c r="P135" i="1"/>
  <c r="P119" i="1"/>
  <c r="P103" i="1"/>
  <c r="P87" i="1"/>
  <c r="P71" i="1"/>
  <c r="P55" i="1"/>
  <c r="P39" i="1"/>
  <c r="P23" i="1"/>
  <c r="P7" i="1"/>
  <c r="O49" i="1"/>
  <c r="P2" i="1"/>
  <c r="P214" i="1"/>
  <c r="P198" i="1"/>
  <c r="P182" i="1"/>
  <c r="P166" i="1"/>
  <c r="P150" i="1"/>
  <c r="P134" i="1"/>
  <c r="P118" i="1"/>
  <c r="P102" i="1"/>
  <c r="P86" i="1"/>
  <c r="P70" i="1"/>
  <c r="P54" i="1"/>
  <c r="P38" i="1"/>
  <c r="P22" i="1"/>
  <c r="P6" i="1"/>
  <c r="P229" i="1"/>
  <c r="P213" i="1"/>
  <c r="P197" i="1"/>
  <c r="P181" i="1"/>
  <c r="P165" i="1"/>
  <c r="P149" i="1"/>
  <c r="P133" i="1"/>
  <c r="P117" i="1"/>
  <c r="P101" i="1"/>
  <c r="P85" i="1"/>
  <c r="P69" i="1"/>
  <c r="P53" i="1"/>
  <c r="P37" i="1"/>
  <c r="P21" i="1"/>
  <c r="P5" i="1"/>
  <c r="P228" i="1"/>
  <c r="P212" i="1"/>
  <c r="P196" i="1"/>
  <c r="P180" i="1"/>
  <c r="P164" i="1"/>
  <c r="P148" i="1"/>
  <c r="P132" i="1"/>
  <c r="P116" i="1"/>
  <c r="P100" i="1"/>
  <c r="P84" i="1"/>
  <c r="P68" i="1"/>
  <c r="P52" i="1"/>
  <c r="P36" i="1"/>
  <c r="P20" i="1"/>
  <c r="P4" i="1"/>
  <c r="P113" i="1"/>
  <c r="P49" i="1"/>
  <c r="P33" i="1"/>
  <c r="P17" i="1"/>
  <c r="D2" i="1"/>
  <c r="E2" i="1" s="1" a="1"/>
  <c r="E2" i="1" s="1"/>
  <c r="P224" i="1"/>
  <c r="P208" i="1"/>
  <c r="P192" i="1"/>
  <c r="P176" i="1"/>
  <c r="P160" i="1"/>
  <c r="P144" i="1"/>
  <c r="P128" i="1"/>
  <c r="P112" i="1"/>
  <c r="P96" i="1"/>
  <c r="P80" i="1"/>
  <c r="P64" i="1"/>
  <c r="P48" i="1"/>
  <c r="P32" i="1"/>
  <c r="P16" i="1"/>
  <c r="P223" i="1"/>
  <c r="P207" i="1"/>
  <c r="P191" i="1"/>
  <c r="P175" i="1"/>
  <c r="P159" i="1"/>
  <c r="P143" i="1"/>
  <c r="P127" i="1"/>
  <c r="P111" i="1"/>
  <c r="P95" i="1"/>
  <c r="P79" i="1"/>
  <c r="P63" i="1"/>
  <c r="P47" i="1"/>
  <c r="P31" i="1"/>
  <c r="P15" i="1"/>
  <c r="P222" i="1"/>
  <c r="P206" i="1"/>
  <c r="P190" i="1"/>
  <c r="P174" i="1"/>
  <c r="P158" i="1"/>
  <c r="P142" i="1"/>
  <c r="P126" i="1"/>
  <c r="P110" i="1"/>
  <c r="P94" i="1"/>
  <c r="P78" i="1"/>
  <c r="P62" i="1"/>
  <c r="P46" i="1"/>
  <c r="P30" i="1"/>
  <c r="O50" i="1"/>
  <c r="O52" i="1"/>
  <c r="O51" i="1"/>
  <c r="D9" i="1"/>
  <c r="E9" i="1" s="1" a="1"/>
  <c r="E9" i="1" s="1"/>
  <c r="D13" i="1"/>
  <c r="E13" i="1" s="1" a="1"/>
  <c r="E13" i="1" s="1"/>
  <c r="D17" i="1"/>
  <c r="E17" i="1" s="1" a="1"/>
  <c r="E17" i="1" s="1"/>
  <c r="D21" i="1"/>
  <c r="E21" i="1" s="1" a="1"/>
  <c r="E21" i="1" s="1"/>
  <c r="D25" i="1"/>
  <c r="E25" i="1" s="1" a="1"/>
  <c r="E25" i="1" s="1"/>
  <c r="D29" i="1"/>
  <c r="E29" i="1" s="1" a="1"/>
  <c r="E29" i="1" s="1"/>
  <c r="D33" i="1"/>
  <c r="E33" i="1" s="1" a="1"/>
  <c r="E33" i="1" s="1"/>
  <c r="D37" i="1"/>
  <c r="E37" i="1" s="1" a="1"/>
  <c r="E37" i="1" s="1"/>
  <c r="D41" i="1"/>
  <c r="E41" i="1" s="1" a="1"/>
  <c r="E41" i="1" s="1"/>
  <c r="D45" i="1"/>
  <c r="E45" i="1" s="1" a="1"/>
  <c r="E45" i="1" s="1"/>
  <c r="D49" i="1"/>
  <c r="E49" i="1" s="1" a="1"/>
  <c r="E49" i="1" s="1"/>
  <c r="D53" i="1"/>
  <c r="E53" i="1" s="1" a="1"/>
  <c r="E53" i="1" s="1"/>
  <c r="D57" i="1"/>
  <c r="E57" i="1" s="1" a="1"/>
  <c r="E57" i="1" s="1"/>
  <c r="D61" i="1"/>
  <c r="E61" i="1" s="1" a="1"/>
  <c r="E61" i="1" s="1"/>
  <c r="D65" i="1"/>
  <c r="E65" i="1" s="1" a="1"/>
  <c r="E65" i="1" s="1"/>
  <c r="D69" i="1"/>
  <c r="E69" i="1" s="1" a="1"/>
  <c r="E69" i="1" s="1"/>
  <c r="D73" i="1"/>
  <c r="E73" i="1" s="1" a="1"/>
  <c r="E73" i="1" s="1"/>
  <c r="D77" i="1"/>
  <c r="E77" i="1" s="1" a="1"/>
  <c r="E77" i="1" s="1"/>
  <c r="D81" i="1"/>
  <c r="E81" i="1" s="1" a="1"/>
  <c r="E81" i="1" s="1"/>
  <c r="D85" i="1"/>
  <c r="E85" i="1" s="1" a="1"/>
  <c r="E85" i="1" s="1"/>
  <c r="D89" i="1"/>
  <c r="E89" i="1" s="1" a="1"/>
  <c r="E89" i="1" s="1"/>
  <c r="D93" i="1"/>
  <c r="E93" i="1" s="1" a="1"/>
  <c r="E93" i="1" s="1"/>
  <c r="D97" i="1"/>
  <c r="E97" i="1" s="1" a="1"/>
  <c r="E97" i="1" s="1"/>
  <c r="D101" i="1"/>
  <c r="E101" i="1" s="1" a="1"/>
  <c r="E101" i="1" s="1"/>
  <c r="D105" i="1"/>
  <c r="E105" i="1" s="1" a="1"/>
  <c r="E105" i="1" s="1"/>
  <c r="D109" i="1"/>
  <c r="E109" i="1" s="1" a="1"/>
  <c r="E109" i="1" s="1"/>
  <c r="D113" i="1"/>
  <c r="E113" i="1" s="1" a="1"/>
  <c r="E113" i="1" s="1"/>
  <c r="D117" i="1"/>
  <c r="E117" i="1" s="1" a="1"/>
  <c r="E117" i="1" s="1"/>
  <c r="D121" i="1"/>
  <c r="E121" i="1" s="1" a="1"/>
  <c r="E121" i="1" s="1"/>
  <c r="D125" i="1"/>
  <c r="E125" i="1" s="1" a="1"/>
  <c r="E125" i="1" s="1"/>
  <c r="D129" i="1"/>
  <c r="E129" i="1" s="1" a="1"/>
  <c r="E129" i="1" s="1"/>
  <c r="D133" i="1"/>
  <c r="E133" i="1" s="1" a="1"/>
  <c r="E133" i="1" s="1"/>
  <c r="D137" i="1"/>
  <c r="E137" i="1" s="1" a="1"/>
  <c r="E137" i="1" s="1"/>
  <c r="D141" i="1"/>
  <c r="E141" i="1" s="1" a="1"/>
  <c r="E141" i="1" s="1"/>
  <c r="D145" i="1"/>
  <c r="E145" i="1" s="1" a="1"/>
  <c r="E145" i="1" s="1"/>
  <c r="D149" i="1"/>
  <c r="E149" i="1" s="1" a="1"/>
  <c r="E149" i="1" s="1"/>
  <c r="D153" i="1"/>
  <c r="E153" i="1" s="1" a="1"/>
  <c r="E153" i="1" s="1"/>
  <c r="D157" i="1"/>
  <c r="E157" i="1" s="1" a="1"/>
  <c r="E157" i="1" s="1"/>
  <c r="D161" i="1"/>
  <c r="E161" i="1" s="1" a="1"/>
  <c r="E161" i="1" s="1"/>
  <c r="D165" i="1"/>
  <c r="E165" i="1" s="1" a="1"/>
  <c r="E165" i="1" s="1"/>
  <c r="D169" i="1"/>
  <c r="E169" i="1" s="1" a="1"/>
  <c r="E169" i="1" s="1"/>
  <c r="D173" i="1"/>
  <c r="E173" i="1" s="1" a="1"/>
  <c r="E173" i="1" s="1"/>
  <c r="D177" i="1"/>
  <c r="E177" i="1" s="1" a="1"/>
  <c r="E177" i="1" s="1"/>
  <c r="D181" i="1"/>
  <c r="E181" i="1" s="1" a="1"/>
  <c r="E181" i="1" s="1"/>
  <c r="D130" i="1"/>
  <c r="E130" i="1" s="1" a="1"/>
  <c r="E130" i="1" s="1"/>
  <c r="D134" i="1"/>
  <c r="E134" i="1" s="1" a="1"/>
  <c r="E134" i="1" s="1"/>
  <c r="D138" i="1"/>
  <c r="E138" i="1" s="1" a="1"/>
  <c r="E138" i="1" s="1"/>
  <c r="D142" i="1"/>
  <c r="E142" i="1" s="1" a="1"/>
  <c r="E142" i="1" s="1"/>
  <c r="D146" i="1"/>
  <c r="E146" i="1" s="1" a="1"/>
  <c r="E146" i="1" s="1"/>
  <c r="D150" i="1"/>
  <c r="E150" i="1" s="1" a="1"/>
  <c r="E150" i="1" s="1"/>
  <c r="D154" i="1"/>
  <c r="E154" i="1" s="1" a="1"/>
  <c r="E154" i="1" s="1"/>
  <c r="D158" i="1"/>
  <c r="E158" i="1" s="1" a="1"/>
  <c r="E158" i="1" s="1"/>
  <c r="D162" i="1"/>
  <c r="E162" i="1" s="1" a="1"/>
  <c r="E162" i="1" s="1"/>
  <c r="D166" i="1"/>
  <c r="E166" i="1" s="1" a="1"/>
  <c r="E166" i="1" s="1"/>
  <c r="D170" i="1"/>
  <c r="E170" i="1" s="1" a="1"/>
  <c r="E170" i="1" s="1"/>
  <c r="D174" i="1"/>
  <c r="E174" i="1" s="1" a="1"/>
  <c r="E174" i="1" s="1"/>
  <c r="D178" i="1"/>
  <c r="E178" i="1" s="1" a="1"/>
  <c r="E178" i="1" s="1"/>
  <c r="D182" i="1"/>
  <c r="E182" i="1" s="1" a="1"/>
  <c r="E182" i="1" s="1"/>
  <c r="D10" i="1"/>
  <c r="E10" i="1" s="1" a="1"/>
  <c r="E10" i="1" s="1"/>
  <c r="D30" i="1"/>
  <c r="E30" i="1" s="1" a="1"/>
  <c r="E30" i="1" s="1"/>
  <c r="D42" i="1"/>
  <c r="E42" i="1" s="1" a="1"/>
  <c r="E42" i="1" s="1"/>
  <c r="D54" i="1"/>
  <c r="E54" i="1" s="1" a="1"/>
  <c r="E54" i="1" s="1"/>
  <c r="D66" i="1"/>
  <c r="E66" i="1" s="1" a="1"/>
  <c r="E66" i="1" s="1"/>
  <c r="D78" i="1"/>
  <c r="E78" i="1" s="1" a="1"/>
  <c r="E78" i="1" s="1"/>
  <c r="D90" i="1"/>
  <c r="E90" i="1" s="1" a="1"/>
  <c r="E90" i="1" s="1"/>
  <c r="D98" i="1"/>
  <c r="E98" i="1" s="1" a="1"/>
  <c r="E98" i="1" s="1"/>
  <c r="D106" i="1"/>
  <c r="E106" i="1" s="1" a="1"/>
  <c r="E106" i="1" s="1"/>
  <c r="D118" i="1"/>
  <c r="E118" i="1" s="1" a="1"/>
  <c r="E118" i="1" s="1"/>
  <c r="D22" i="1"/>
  <c r="E22" i="1" s="1" a="1"/>
  <c r="E22" i="1" s="1"/>
  <c r="D46" i="1"/>
  <c r="E46" i="1" s="1" a="1"/>
  <c r="E46" i="1" s="1"/>
  <c r="D70" i="1"/>
  <c r="E70" i="1" s="1" a="1"/>
  <c r="E70" i="1" s="1"/>
  <c r="D114" i="1"/>
  <c r="E114" i="1" s="1" a="1"/>
  <c r="E114" i="1" s="1"/>
  <c r="D14" i="1"/>
  <c r="E14" i="1" s="1" a="1"/>
  <c r="E14" i="1" s="1"/>
  <c r="D26" i="1"/>
  <c r="E26" i="1" s="1" a="1"/>
  <c r="E26" i="1" s="1"/>
  <c r="D38" i="1"/>
  <c r="E38" i="1" s="1" a="1"/>
  <c r="E38" i="1" s="1"/>
  <c r="D50" i="1"/>
  <c r="E50" i="1" s="1" a="1"/>
  <c r="E50" i="1" s="1"/>
  <c r="D62" i="1"/>
  <c r="E62" i="1" s="1" a="1"/>
  <c r="E62" i="1" s="1"/>
  <c r="D74" i="1"/>
  <c r="E74" i="1" s="1" a="1"/>
  <c r="E74" i="1" s="1"/>
  <c r="D86" i="1"/>
  <c r="E86" i="1" s="1" a="1"/>
  <c r="E86" i="1" s="1"/>
  <c r="D94" i="1"/>
  <c r="E94" i="1" s="1" a="1"/>
  <c r="E94" i="1" s="1"/>
  <c r="D102" i="1"/>
  <c r="E102" i="1" s="1" a="1"/>
  <c r="E102" i="1" s="1"/>
  <c r="D110" i="1"/>
  <c r="E110" i="1" s="1" a="1"/>
  <c r="E110" i="1" s="1"/>
  <c r="D122" i="1"/>
  <c r="E122" i="1" s="1" a="1"/>
  <c r="E122" i="1" s="1"/>
  <c r="H3" i="1"/>
  <c r="D7" i="1"/>
  <c r="E7" i="1" s="1" a="1"/>
  <c r="E7" i="1" s="1"/>
  <c r="D18" i="1"/>
  <c r="E18" i="1" s="1" a="1"/>
  <c r="E18" i="1" s="1"/>
  <c r="D34" i="1"/>
  <c r="E34" i="1" s="1" a="1"/>
  <c r="E34" i="1" s="1"/>
  <c r="D58" i="1"/>
  <c r="E58" i="1" s="1" a="1"/>
  <c r="E58" i="1" s="1"/>
  <c r="D82" i="1"/>
  <c r="E82" i="1" s="1" a="1"/>
  <c r="E82" i="1" s="1"/>
  <c r="D126" i="1"/>
  <c r="E126" i="1" s="1" a="1"/>
  <c r="E126" i="1" s="1"/>
  <c r="D11" i="1"/>
  <c r="E11" i="1" s="1" a="1"/>
  <c r="E11" i="1" s="1"/>
  <c r="D15" i="1"/>
  <c r="E15" i="1" s="1" a="1"/>
  <c r="E15" i="1" s="1"/>
  <c r="D19" i="1"/>
  <c r="E19" i="1" s="1" a="1"/>
  <c r="E19" i="1" s="1"/>
  <c r="D23" i="1"/>
  <c r="E23" i="1" s="1" a="1"/>
  <c r="E23" i="1" s="1"/>
  <c r="D27" i="1"/>
  <c r="E27" i="1" s="1" a="1"/>
  <c r="E27" i="1" s="1"/>
  <c r="D31" i="1"/>
  <c r="E31" i="1" s="1" a="1"/>
  <c r="E31" i="1" s="1"/>
  <c r="D35" i="1"/>
  <c r="E35" i="1" s="1" a="1"/>
  <c r="E35" i="1" s="1"/>
  <c r="D39" i="1"/>
  <c r="E39" i="1" s="1" a="1"/>
  <c r="E39" i="1" s="1"/>
  <c r="D43" i="1"/>
  <c r="E43" i="1" s="1" a="1"/>
  <c r="E43" i="1" s="1"/>
  <c r="D47" i="1"/>
  <c r="E47" i="1" s="1" a="1"/>
  <c r="E47" i="1" s="1"/>
  <c r="D51" i="1"/>
  <c r="E51" i="1" s="1" a="1"/>
  <c r="E51" i="1" s="1"/>
  <c r="D55" i="1"/>
  <c r="E55" i="1" s="1" a="1"/>
  <c r="E55" i="1" s="1"/>
  <c r="D59" i="1"/>
  <c r="E59" i="1" s="1" a="1"/>
  <c r="E59" i="1" s="1"/>
  <c r="D63" i="1"/>
  <c r="E63" i="1" s="1" a="1"/>
  <c r="E63" i="1" s="1"/>
  <c r="D67" i="1"/>
  <c r="E67" i="1" s="1" a="1"/>
  <c r="E67" i="1" s="1"/>
  <c r="D71" i="1"/>
  <c r="E71" i="1" s="1" a="1"/>
  <c r="E71" i="1" s="1"/>
  <c r="D75" i="1"/>
  <c r="E75" i="1" s="1" a="1"/>
  <c r="E75" i="1" s="1"/>
  <c r="D79" i="1"/>
  <c r="E79" i="1" s="1" a="1"/>
  <c r="E79" i="1" s="1"/>
  <c r="D83" i="1"/>
  <c r="E83" i="1" s="1" a="1"/>
  <c r="E83" i="1" s="1"/>
  <c r="D87" i="1"/>
  <c r="E87" i="1" s="1" a="1"/>
  <c r="E87" i="1" s="1"/>
  <c r="D91" i="1"/>
  <c r="E91" i="1" s="1" a="1"/>
  <c r="E91" i="1" s="1"/>
  <c r="D95" i="1"/>
  <c r="E95" i="1" s="1" a="1"/>
  <c r="E95" i="1" s="1"/>
  <c r="D99" i="1"/>
  <c r="E99" i="1" s="1" a="1"/>
  <c r="E99" i="1" s="1"/>
  <c r="D103" i="1"/>
  <c r="E103" i="1" s="1" a="1"/>
  <c r="E103" i="1" s="1"/>
  <c r="D107" i="1"/>
  <c r="E107" i="1" s="1" a="1"/>
  <c r="E107" i="1" s="1"/>
  <c r="D111" i="1"/>
  <c r="E111" i="1" s="1" a="1"/>
  <c r="E111" i="1" s="1"/>
  <c r="D115" i="1"/>
  <c r="E115" i="1" s="1" a="1"/>
  <c r="E115" i="1" s="1"/>
  <c r="D119" i="1"/>
  <c r="E119" i="1" s="1" a="1"/>
  <c r="E119" i="1" s="1"/>
  <c r="D123" i="1"/>
  <c r="E123" i="1" s="1" a="1"/>
  <c r="E123" i="1" s="1"/>
  <c r="D127" i="1"/>
  <c r="E127" i="1" s="1" a="1"/>
  <c r="E127" i="1" s="1"/>
  <c r="D131" i="1"/>
  <c r="E131" i="1" s="1" a="1"/>
  <c r="E131" i="1" s="1"/>
  <c r="D135" i="1"/>
  <c r="E135" i="1" s="1" a="1"/>
  <c r="E135" i="1" s="1"/>
  <c r="D139" i="1"/>
  <c r="E139" i="1" s="1" a="1"/>
  <c r="E139" i="1" s="1"/>
  <c r="D143" i="1"/>
  <c r="E143" i="1" s="1" a="1"/>
  <c r="E143" i="1" s="1"/>
  <c r="D147" i="1"/>
  <c r="E147" i="1" s="1" a="1"/>
  <c r="E147" i="1" s="1"/>
  <c r="D151" i="1"/>
  <c r="E151" i="1" s="1" a="1"/>
  <c r="E151" i="1" s="1"/>
  <c r="D155" i="1"/>
  <c r="E155" i="1" s="1" a="1"/>
  <c r="E155" i="1" s="1"/>
  <c r="D159" i="1"/>
  <c r="E159" i="1" s="1" a="1"/>
  <c r="E159" i="1" s="1"/>
  <c r="D163" i="1"/>
  <c r="E163" i="1" s="1" a="1"/>
  <c r="E163" i="1" s="1"/>
  <c r="D167" i="1"/>
  <c r="E167" i="1" s="1" a="1"/>
  <c r="E167" i="1" s="1"/>
  <c r="D171" i="1"/>
  <c r="E171" i="1" s="1" a="1"/>
  <c r="E171" i="1" s="1"/>
  <c r="D175" i="1"/>
  <c r="E175" i="1" s="1" a="1"/>
  <c r="E175" i="1" s="1"/>
  <c r="D179" i="1"/>
  <c r="E179" i="1" s="1" a="1"/>
  <c r="E179" i="1" s="1"/>
  <c r="D183" i="1"/>
  <c r="E183" i="1" s="1" a="1"/>
  <c r="E183" i="1" s="1"/>
  <c r="D4" i="1"/>
  <c r="E4" i="1" s="1" a="1"/>
  <c r="E4" i="1" s="1"/>
  <c r="D12" i="1"/>
  <c r="E12" i="1" s="1" a="1"/>
  <c r="E12" i="1" s="1"/>
  <c r="D16" i="1"/>
  <c r="E16" i="1" s="1" a="1"/>
  <c r="E16" i="1" s="1"/>
  <c r="D20" i="1"/>
  <c r="E20" i="1" s="1" a="1"/>
  <c r="E20" i="1" s="1"/>
  <c r="D24" i="1"/>
  <c r="E24" i="1" s="1" a="1"/>
  <c r="E24" i="1" s="1"/>
  <c r="D28" i="1"/>
  <c r="E28" i="1" s="1" a="1"/>
  <c r="E28" i="1" s="1"/>
  <c r="D32" i="1"/>
  <c r="E32" i="1" s="1" a="1"/>
  <c r="E32" i="1" s="1"/>
  <c r="D36" i="1"/>
  <c r="E36" i="1" s="1" a="1"/>
  <c r="E36" i="1" s="1"/>
  <c r="D40" i="1"/>
  <c r="E40" i="1" s="1" a="1"/>
  <c r="E40" i="1" s="1"/>
  <c r="D44" i="1"/>
  <c r="E44" i="1" s="1" a="1"/>
  <c r="E44" i="1" s="1"/>
  <c r="D48" i="1"/>
  <c r="E48" i="1" s="1" a="1"/>
  <c r="E48" i="1" s="1"/>
  <c r="D52" i="1"/>
  <c r="E52" i="1" s="1" a="1"/>
  <c r="E52" i="1" s="1"/>
  <c r="D56" i="1"/>
  <c r="E56" i="1" s="1" a="1"/>
  <c r="E56" i="1" s="1"/>
  <c r="D60" i="1"/>
  <c r="E60" i="1" s="1" a="1"/>
  <c r="E60" i="1" s="1"/>
  <c r="D64" i="1"/>
  <c r="E64" i="1" s="1" a="1"/>
  <c r="E64" i="1" s="1"/>
  <c r="D68" i="1"/>
  <c r="E68" i="1" s="1" a="1"/>
  <c r="E68" i="1" s="1"/>
  <c r="D72" i="1"/>
  <c r="E72" i="1" s="1" a="1"/>
  <c r="E72" i="1" s="1"/>
  <c r="D76" i="1"/>
  <c r="E76" i="1" s="1" a="1"/>
  <c r="E76" i="1" s="1"/>
  <c r="D80" i="1"/>
  <c r="E80" i="1" s="1" a="1"/>
  <c r="E80" i="1" s="1"/>
  <c r="D84" i="1"/>
  <c r="E84" i="1" s="1" a="1"/>
  <c r="E84" i="1" s="1"/>
  <c r="D88" i="1"/>
  <c r="E88" i="1" s="1" a="1"/>
  <c r="E88" i="1" s="1"/>
  <c r="D92" i="1"/>
  <c r="E92" i="1" s="1" a="1"/>
  <c r="E92" i="1" s="1"/>
  <c r="D96" i="1"/>
  <c r="E96" i="1" s="1" a="1"/>
  <c r="E96" i="1" s="1"/>
  <c r="D100" i="1"/>
  <c r="E100" i="1" s="1" a="1"/>
  <c r="E100" i="1" s="1"/>
  <c r="D104" i="1"/>
  <c r="E104" i="1" s="1" a="1"/>
  <c r="E104" i="1" s="1"/>
  <c r="D108" i="1"/>
  <c r="E108" i="1" s="1" a="1"/>
  <c r="E108" i="1" s="1"/>
  <c r="D112" i="1"/>
  <c r="E112" i="1" s="1" a="1"/>
  <c r="E112" i="1" s="1"/>
  <c r="D116" i="1"/>
  <c r="E116" i="1" s="1" a="1"/>
  <c r="E116" i="1" s="1"/>
  <c r="D120" i="1"/>
  <c r="E120" i="1" s="1" a="1"/>
  <c r="E120" i="1" s="1"/>
  <c r="D124" i="1"/>
  <c r="E124" i="1" s="1" a="1"/>
  <c r="E124" i="1" s="1"/>
  <c r="D128" i="1"/>
  <c r="E128" i="1" s="1" a="1"/>
  <c r="E128" i="1" s="1"/>
  <c r="D132" i="1"/>
  <c r="E132" i="1" s="1" a="1"/>
  <c r="E132" i="1" s="1"/>
  <c r="D136" i="1"/>
  <c r="E136" i="1" s="1" a="1"/>
  <c r="E136" i="1" s="1"/>
  <c r="D140" i="1"/>
  <c r="E140" i="1" s="1" a="1"/>
  <c r="E140" i="1" s="1"/>
  <c r="D144" i="1"/>
  <c r="E144" i="1" s="1" a="1"/>
  <c r="E144" i="1" s="1"/>
  <c r="D148" i="1"/>
  <c r="E148" i="1" s="1" a="1"/>
  <c r="E148" i="1" s="1"/>
  <c r="D152" i="1"/>
  <c r="E152" i="1" s="1" a="1"/>
  <c r="E152" i="1" s="1"/>
  <c r="D156" i="1"/>
  <c r="E156" i="1" s="1" a="1"/>
  <c r="E156" i="1" s="1"/>
  <c r="D160" i="1"/>
  <c r="E160" i="1" s="1" a="1"/>
  <c r="E160" i="1" s="1"/>
  <c r="D164" i="1"/>
  <c r="E164" i="1" s="1" a="1"/>
  <c r="E164" i="1" s="1"/>
  <c r="D168" i="1"/>
  <c r="E168" i="1" s="1" a="1"/>
  <c r="E168" i="1" s="1"/>
  <c r="D172" i="1"/>
  <c r="E172" i="1" s="1" a="1"/>
  <c r="E172" i="1" s="1"/>
  <c r="D176" i="1"/>
  <c r="E176" i="1" s="1" a="1"/>
  <c r="E176" i="1" s="1"/>
  <c r="D180" i="1"/>
  <c r="E180" i="1" s="1" a="1"/>
  <c r="E180" i="1" s="1"/>
  <c r="D184" i="1"/>
  <c r="E184" i="1" s="1" a="1"/>
  <c r="E184" i="1" s="1"/>
  <c r="D6" i="1"/>
  <c r="E6" i="1" s="1" a="1"/>
  <c r="E6" i="1" s="1"/>
  <c r="D3" i="1"/>
  <c r="E3" i="1" s="1" a="1"/>
  <c r="E3" i="1" s="1"/>
  <c r="D8" i="1"/>
  <c r="E8" i="1" s="1" a="1"/>
  <c r="E8" i="1" s="1"/>
  <c r="O74" i="1" l="1"/>
  <c r="O75" i="1"/>
  <c r="O73" i="1"/>
  <c r="O72" i="1"/>
  <c r="T1" i="1"/>
  <c r="T3" i="1" l="1"/>
  <c r="Q34" i="1"/>
  <c r="R34" i="1" s="1" a="1"/>
  <c r="R34" i="1" s="1"/>
  <c r="Q82" i="1"/>
  <c r="R82" i="1" s="1" a="1"/>
  <c r="R82" i="1" s="1"/>
  <c r="Q66" i="1"/>
  <c r="R66" i="1" s="1" a="1"/>
  <c r="R66" i="1" s="1"/>
  <c r="Q18" i="1"/>
  <c r="R18" i="1" s="1" a="1"/>
  <c r="R18" i="1" s="1"/>
  <c r="Q98" i="1"/>
  <c r="R98" i="1" s="1" a="1"/>
  <c r="R98" i="1" s="1"/>
  <c r="Q210" i="1"/>
  <c r="R210" i="1" s="1" a="1"/>
  <c r="R210" i="1" s="1"/>
  <c r="Q226" i="1"/>
  <c r="R226" i="1" s="1" a="1"/>
  <c r="R226" i="1" s="1"/>
  <c r="Q146" i="1"/>
  <c r="R146" i="1" s="1" a="1"/>
  <c r="R146" i="1" s="1"/>
  <c r="Q162" i="1"/>
  <c r="R162" i="1" s="1" a="1"/>
  <c r="R162" i="1" s="1"/>
  <c r="Q194" i="1"/>
  <c r="R194" i="1" s="1" a="1"/>
  <c r="R194" i="1" s="1"/>
  <c r="Q130" i="1"/>
  <c r="R130" i="1" s="1" a="1"/>
  <c r="R130" i="1" s="1"/>
  <c r="Q178" i="1"/>
  <c r="R178" i="1" s="1" a="1"/>
  <c r="R178" i="1" s="1"/>
  <c r="Q114" i="1"/>
  <c r="R114" i="1" s="1" a="1"/>
  <c r="R114" i="1" s="1"/>
  <c r="Q80" i="1"/>
  <c r="R80" i="1" s="1" a="1"/>
  <c r="R80" i="1" s="1"/>
  <c r="Q6" i="1"/>
  <c r="R6" i="1" s="1" a="1"/>
  <c r="R6" i="1" s="1"/>
  <c r="Q33" i="1"/>
  <c r="R33" i="1" s="1" a="1"/>
  <c r="R33" i="1" s="1"/>
  <c r="Q207" i="1"/>
  <c r="R207" i="1" s="1" a="1"/>
  <c r="R207" i="1" s="1"/>
  <c r="Q158" i="1"/>
  <c r="R158" i="1" s="1" a="1"/>
  <c r="R158" i="1" s="1"/>
  <c r="Q109" i="1"/>
  <c r="R109" i="1" s="1" a="1"/>
  <c r="R109" i="1" s="1"/>
  <c r="Q44" i="1"/>
  <c r="R44" i="1" s="1" a="1"/>
  <c r="R44" i="1" s="1"/>
  <c r="Q202" i="1"/>
  <c r="R202" i="1" s="1" a="1"/>
  <c r="R202" i="1" s="1"/>
  <c r="Q137" i="1"/>
  <c r="R137" i="1" s="1" a="1"/>
  <c r="R137" i="1" s="1"/>
  <c r="Q56" i="1"/>
  <c r="R56" i="1" s="1" a="1"/>
  <c r="R56" i="1" s="1"/>
  <c r="Q7" i="1"/>
  <c r="R7" i="1" s="1" a="1"/>
  <c r="R7" i="1" s="1"/>
  <c r="Q22" i="1"/>
  <c r="R22" i="1" s="1" a="1"/>
  <c r="R22" i="1" s="1"/>
  <c r="Q213" i="1"/>
  <c r="R213" i="1" s="1" a="1"/>
  <c r="R213" i="1" s="1"/>
  <c r="Q116" i="1"/>
  <c r="R116" i="1" s="1" a="1"/>
  <c r="R116" i="1" s="1"/>
  <c r="Q227" i="1"/>
  <c r="R227" i="1" s="1" a="1"/>
  <c r="R227" i="1" s="1"/>
  <c r="Q43" i="1"/>
  <c r="R43" i="1" s="1" a="1"/>
  <c r="R43" i="1" s="1"/>
  <c r="Q5" i="1"/>
  <c r="R5" i="1" s="1" a="1"/>
  <c r="R5" i="1" s="1"/>
  <c r="Q35" i="1"/>
  <c r="R35" i="1" s="1" a="1"/>
  <c r="R35" i="1" s="1"/>
  <c r="Q17" i="1"/>
  <c r="R17" i="1" s="1" a="1"/>
  <c r="R17" i="1" s="1"/>
  <c r="Q191" i="1"/>
  <c r="R191" i="1" s="1" a="1"/>
  <c r="R191" i="1" s="1"/>
  <c r="Q142" i="1"/>
  <c r="R142" i="1" s="1" a="1"/>
  <c r="R142" i="1" s="1"/>
  <c r="Q93" i="1"/>
  <c r="R93" i="1" s="1" a="1"/>
  <c r="R93" i="1" s="1"/>
  <c r="Q28" i="1"/>
  <c r="R28" i="1" s="1" a="1"/>
  <c r="R28" i="1" s="1"/>
  <c r="Q186" i="1"/>
  <c r="R186" i="1" s="1" a="1"/>
  <c r="R186" i="1" s="1"/>
  <c r="Q121" i="1"/>
  <c r="R121" i="1" s="1" a="1"/>
  <c r="R121" i="1" s="1"/>
  <c r="Q40" i="1"/>
  <c r="R40" i="1" s="1" a="1"/>
  <c r="R40" i="1" s="1"/>
  <c r="Q197" i="1"/>
  <c r="R197" i="1" s="1" a="1"/>
  <c r="R197" i="1" s="1"/>
  <c r="Q100" i="1"/>
  <c r="R100" i="1" s="1" a="1"/>
  <c r="R100" i="1" s="1"/>
  <c r="Q211" i="1"/>
  <c r="R211" i="1" s="1" a="1"/>
  <c r="R211" i="1" s="1"/>
  <c r="Q185" i="1"/>
  <c r="R185" i="1" s="1" a="1"/>
  <c r="R185" i="1" s="1"/>
  <c r="Q153" i="1"/>
  <c r="R153" i="1" s="1" a="1"/>
  <c r="R153" i="1" s="1"/>
  <c r="Q41" i="1"/>
  <c r="R41" i="1" s="1" a="1"/>
  <c r="R41" i="1" s="1"/>
  <c r="Q36" i="1"/>
  <c r="R36" i="1" s="1" a="1"/>
  <c r="R36" i="1" s="1"/>
  <c r="Q224" i="1"/>
  <c r="R224" i="1" s="1" a="1"/>
  <c r="R224" i="1" s="1"/>
  <c r="Q175" i="1"/>
  <c r="R175" i="1" s="1" a="1"/>
  <c r="R175" i="1" s="1"/>
  <c r="Q126" i="1"/>
  <c r="R126" i="1" s="1" a="1"/>
  <c r="R126" i="1" s="1"/>
  <c r="Q77" i="1"/>
  <c r="R77" i="1" s="1" a="1"/>
  <c r="R77" i="1" s="1"/>
  <c r="Q12" i="1"/>
  <c r="R12" i="1" s="1" a="1"/>
  <c r="R12" i="1" s="1"/>
  <c r="Q170" i="1"/>
  <c r="R170" i="1" s="1" a="1"/>
  <c r="R170" i="1" s="1"/>
  <c r="Q105" i="1"/>
  <c r="R105" i="1" s="1" a="1"/>
  <c r="R105" i="1" s="1"/>
  <c r="Q24" i="1"/>
  <c r="R24" i="1" s="1" a="1"/>
  <c r="R24" i="1" s="1"/>
  <c r="Q181" i="1"/>
  <c r="R181" i="1" s="1" a="1"/>
  <c r="R181" i="1" s="1"/>
  <c r="Q20" i="1"/>
  <c r="R20" i="1" s="1" a="1"/>
  <c r="R20" i="1" s="1"/>
  <c r="Q195" i="1"/>
  <c r="R195" i="1" s="1" a="1"/>
  <c r="R195" i="1" s="1"/>
  <c r="Q71" i="1"/>
  <c r="R71" i="1" s="1" a="1"/>
  <c r="R71" i="1" s="1"/>
  <c r="Q164" i="1"/>
  <c r="R164" i="1" s="1" a="1"/>
  <c r="R164" i="1" s="1"/>
  <c r="Q125" i="1"/>
  <c r="R125" i="1" s="1" a="1"/>
  <c r="R125" i="1" s="1"/>
  <c r="Q65" i="1"/>
  <c r="R65" i="1" s="1" a="1"/>
  <c r="R65" i="1" s="1"/>
  <c r="Q37" i="1"/>
  <c r="R37" i="1" s="1" a="1"/>
  <c r="R37" i="1" s="1"/>
  <c r="Q208" i="1"/>
  <c r="R208" i="1" s="1" a="1"/>
  <c r="R208" i="1" s="1"/>
  <c r="Q159" i="1"/>
  <c r="R159" i="1" s="1" a="1"/>
  <c r="R159" i="1" s="1"/>
  <c r="Q110" i="1"/>
  <c r="R110" i="1" s="1" a="1"/>
  <c r="R110" i="1" s="1"/>
  <c r="Q61" i="1"/>
  <c r="R61" i="1" s="1" a="1"/>
  <c r="R61" i="1" s="1"/>
  <c r="Q219" i="1"/>
  <c r="R219" i="1" s="1" a="1"/>
  <c r="R219" i="1" s="1"/>
  <c r="Q154" i="1"/>
  <c r="R154" i="1" s="1" a="1"/>
  <c r="R154" i="1" s="1"/>
  <c r="Q89" i="1"/>
  <c r="R89" i="1" s="1" a="1"/>
  <c r="R89" i="1" s="1"/>
  <c r="Q8" i="1"/>
  <c r="R8" i="1" s="1" a="1"/>
  <c r="R8" i="1" s="1"/>
  <c r="Q165" i="1"/>
  <c r="R165" i="1" s="1" a="1"/>
  <c r="R165" i="1" s="1"/>
  <c r="Q179" i="1"/>
  <c r="R179" i="1" s="1" a="1"/>
  <c r="R179" i="1" s="1"/>
  <c r="Q190" i="1"/>
  <c r="R190" i="1" s="1" a="1"/>
  <c r="R190" i="1" s="1"/>
  <c r="Q148" i="1"/>
  <c r="R148" i="1" s="1" a="1"/>
  <c r="R148" i="1" s="1"/>
  <c r="Q68" i="1"/>
  <c r="R68" i="1" s="1" a="1"/>
  <c r="R68" i="1" s="1"/>
  <c r="Q54" i="1"/>
  <c r="R54" i="1" s="1" a="1"/>
  <c r="R54" i="1" s="1"/>
  <c r="Q2" i="1"/>
  <c r="R2" i="1" s="1" a="1"/>
  <c r="R2" i="1" s="1"/>
  <c r="Q38" i="1"/>
  <c r="R38" i="1" s="1" a="1"/>
  <c r="R38" i="1" s="1"/>
  <c r="Q192" i="1"/>
  <c r="R192" i="1" s="1" a="1"/>
  <c r="R192" i="1" s="1"/>
  <c r="Q143" i="1"/>
  <c r="R143" i="1" s="1" a="1"/>
  <c r="R143" i="1" s="1"/>
  <c r="Q94" i="1"/>
  <c r="R94" i="1" s="1" a="1"/>
  <c r="R94" i="1" s="1"/>
  <c r="Q45" i="1"/>
  <c r="R45" i="1" s="1" a="1"/>
  <c r="R45" i="1" s="1"/>
  <c r="Q203" i="1"/>
  <c r="R203" i="1" s="1" a="1"/>
  <c r="R203" i="1" s="1"/>
  <c r="Q138" i="1"/>
  <c r="R138" i="1" s="1" a="1"/>
  <c r="R138" i="1" s="1"/>
  <c r="Q57" i="1"/>
  <c r="R57" i="1" s="1" a="1"/>
  <c r="R57" i="1" s="1"/>
  <c r="Q215" i="1"/>
  <c r="R215" i="1" s="1" a="1"/>
  <c r="R215" i="1" s="1"/>
  <c r="Q149" i="1"/>
  <c r="R149" i="1" s="1" a="1"/>
  <c r="R149" i="1" s="1"/>
  <c r="Q163" i="1"/>
  <c r="R163" i="1" s="1" a="1"/>
  <c r="R163" i="1" s="1"/>
  <c r="Q157" i="1"/>
  <c r="R157" i="1" s="1" a="1"/>
  <c r="R157" i="1" s="1"/>
  <c r="Q86" i="1"/>
  <c r="R86" i="1" s="1" a="1"/>
  <c r="R86" i="1" s="1"/>
  <c r="Q60" i="1"/>
  <c r="R60" i="1" s="1" a="1"/>
  <c r="R60" i="1" s="1"/>
  <c r="Q67" i="1"/>
  <c r="R67" i="1" s="1" a="1"/>
  <c r="R67" i="1" s="1"/>
  <c r="Q78" i="1"/>
  <c r="R78" i="1" s="1" a="1"/>
  <c r="R78" i="1" s="1"/>
  <c r="Q176" i="1"/>
  <c r="R176" i="1" s="1" a="1"/>
  <c r="R176" i="1" s="1"/>
  <c r="Q127" i="1"/>
  <c r="R127" i="1" s="1" a="1"/>
  <c r="R127" i="1" s="1"/>
  <c r="Q62" i="1"/>
  <c r="R62" i="1" s="1" a="1"/>
  <c r="R62" i="1" s="1"/>
  <c r="Q29" i="1"/>
  <c r="R29" i="1" s="1" a="1"/>
  <c r="R29" i="1" s="1"/>
  <c r="Q220" i="1"/>
  <c r="R220" i="1" s="1" a="1"/>
  <c r="R220" i="1" s="1"/>
  <c r="Q187" i="1"/>
  <c r="R187" i="1" s="1" a="1"/>
  <c r="R187" i="1" s="1"/>
  <c r="Q122" i="1"/>
  <c r="R122" i="1" s="1" a="1"/>
  <c r="R122" i="1" s="1"/>
  <c r="Q25" i="1"/>
  <c r="R25" i="1" s="1" a="1"/>
  <c r="R25" i="1" s="1"/>
  <c r="Q199" i="1"/>
  <c r="R199" i="1" s="1" a="1"/>
  <c r="R199" i="1" s="1"/>
  <c r="Q133" i="1"/>
  <c r="R133" i="1" s="1" a="1"/>
  <c r="R133" i="1" s="1"/>
  <c r="Q147" i="1"/>
  <c r="R147" i="1" s="1" a="1"/>
  <c r="R147" i="1" s="1"/>
  <c r="Q55" i="1"/>
  <c r="R55" i="1" s="1" a="1"/>
  <c r="R55" i="1" s="1"/>
  <c r="Q81" i="1"/>
  <c r="R81" i="1" s="1" a="1"/>
  <c r="R81" i="1" s="1"/>
  <c r="Q104" i="1"/>
  <c r="R104" i="1" s="1" a="1"/>
  <c r="R104" i="1" s="1"/>
  <c r="Q174" i="1"/>
  <c r="R174" i="1" s="1" a="1"/>
  <c r="R174" i="1" s="1"/>
  <c r="Q132" i="1"/>
  <c r="R132" i="1" s="1" a="1"/>
  <c r="R132" i="1" s="1"/>
  <c r="Q69" i="1"/>
  <c r="R69" i="1" s="1" a="1"/>
  <c r="R69" i="1" s="1"/>
  <c r="Q79" i="1"/>
  <c r="R79" i="1" s="1" a="1"/>
  <c r="R79" i="1" s="1"/>
  <c r="Q160" i="1"/>
  <c r="R160" i="1" s="1" a="1"/>
  <c r="R160" i="1" s="1"/>
  <c r="Q111" i="1"/>
  <c r="R111" i="1" s="1" a="1"/>
  <c r="R111" i="1" s="1"/>
  <c r="Q46" i="1"/>
  <c r="R46" i="1" s="1" a="1"/>
  <c r="R46" i="1" s="1"/>
  <c r="Q13" i="1"/>
  <c r="R13" i="1" s="1" a="1"/>
  <c r="R13" i="1" s="1"/>
  <c r="Q204" i="1"/>
  <c r="R204" i="1" s="1" a="1"/>
  <c r="R204" i="1" s="1"/>
  <c r="Q171" i="1"/>
  <c r="R171" i="1" s="1" a="1"/>
  <c r="R171" i="1" s="1"/>
  <c r="Q106" i="1"/>
  <c r="R106" i="1" s="1" a="1"/>
  <c r="R106" i="1" s="1"/>
  <c r="Q9" i="1"/>
  <c r="R9" i="1" s="1" a="1"/>
  <c r="R9" i="1" s="1"/>
  <c r="Q183" i="1"/>
  <c r="R183" i="1" s="1" a="1"/>
  <c r="R183" i="1" s="1"/>
  <c r="Q214" i="1"/>
  <c r="R214" i="1" s="1" a="1"/>
  <c r="R214" i="1" s="1"/>
  <c r="Q117" i="1"/>
  <c r="R117" i="1" s="1" a="1"/>
  <c r="R117" i="1" s="1"/>
  <c r="Q131" i="1"/>
  <c r="R131" i="1" s="1" a="1"/>
  <c r="R131" i="1" s="1"/>
  <c r="Q92" i="1"/>
  <c r="R92" i="1" s="1" a="1"/>
  <c r="R92" i="1" s="1"/>
  <c r="Q113" i="1"/>
  <c r="R113" i="1" s="1" a="1"/>
  <c r="R113" i="1" s="1"/>
  <c r="Q169" i="1"/>
  <c r="R169" i="1" s="1" a="1"/>
  <c r="R169" i="1" s="1"/>
  <c r="Q97" i="1"/>
  <c r="R97" i="1" s="1" a="1"/>
  <c r="R97" i="1" s="1"/>
  <c r="Q23" i="1"/>
  <c r="R23" i="1" s="1" a="1"/>
  <c r="R23" i="1" s="1"/>
  <c r="Q19" i="1"/>
  <c r="R19" i="1" s="1" a="1"/>
  <c r="R19" i="1" s="1"/>
  <c r="Q225" i="1"/>
  <c r="R225" i="1" s="1" a="1"/>
  <c r="R225" i="1" s="1"/>
  <c r="Q144" i="1"/>
  <c r="R144" i="1" s="1" a="1"/>
  <c r="R144" i="1" s="1"/>
  <c r="Q95" i="1"/>
  <c r="R95" i="1" s="1" a="1"/>
  <c r="R95" i="1" s="1"/>
  <c r="Q30" i="1"/>
  <c r="R30" i="1" s="1" a="1"/>
  <c r="R30" i="1" s="1"/>
  <c r="Q188" i="1"/>
  <c r="R188" i="1" s="1" a="1"/>
  <c r="R188" i="1" s="1"/>
  <c r="Q155" i="1"/>
  <c r="R155" i="1" s="1" a="1"/>
  <c r="R155" i="1" s="1"/>
  <c r="Q90" i="1"/>
  <c r="R90" i="1" s="1" a="1"/>
  <c r="R90" i="1" s="1"/>
  <c r="Q216" i="1"/>
  <c r="R216" i="1" s="1" a="1"/>
  <c r="R216" i="1" s="1"/>
  <c r="Q167" i="1"/>
  <c r="R167" i="1" s="1" a="1"/>
  <c r="R167" i="1" s="1"/>
  <c r="Q198" i="1"/>
  <c r="R198" i="1" s="1" a="1"/>
  <c r="R198" i="1" s="1"/>
  <c r="Q101" i="1"/>
  <c r="R101" i="1" s="1" a="1"/>
  <c r="R101" i="1" s="1"/>
  <c r="Q115" i="1"/>
  <c r="R115" i="1" s="1" a="1"/>
  <c r="R115" i="1" s="1"/>
  <c r="Q27" i="1"/>
  <c r="R27" i="1" s="1" a="1"/>
  <c r="R27" i="1" s="1"/>
  <c r="Q4" i="1"/>
  <c r="R4" i="1" s="1" a="1"/>
  <c r="R4" i="1" s="1"/>
  <c r="Q209" i="1"/>
  <c r="R209" i="1" s="1" a="1"/>
  <c r="R209" i="1" s="1"/>
  <c r="Q128" i="1"/>
  <c r="R128" i="1" s="1" a="1"/>
  <c r="R128" i="1" s="1"/>
  <c r="Q63" i="1"/>
  <c r="R63" i="1" s="1" a="1"/>
  <c r="R63" i="1" s="1"/>
  <c r="Q14" i="1"/>
  <c r="R14" i="1" s="1" a="1"/>
  <c r="R14" i="1" s="1"/>
  <c r="Q172" i="1"/>
  <c r="R172" i="1" s="1" a="1"/>
  <c r="R172" i="1" s="1"/>
  <c r="Q139" i="1"/>
  <c r="R139" i="1" s="1" a="1"/>
  <c r="R139" i="1" s="1"/>
  <c r="Q58" i="1"/>
  <c r="R58" i="1" s="1" a="1"/>
  <c r="R58" i="1" s="1"/>
  <c r="Q200" i="1"/>
  <c r="R200" i="1" s="1" a="1"/>
  <c r="R200" i="1" s="1"/>
  <c r="Q151" i="1"/>
  <c r="R151" i="1" s="1" a="1"/>
  <c r="R151" i="1" s="1"/>
  <c r="Q182" i="1"/>
  <c r="R182" i="1" s="1" a="1"/>
  <c r="R182" i="1" s="1"/>
  <c r="Q85" i="1"/>
  <c r="R85" i="1" s="1" a="1"/>
  <c r="R85" i="1" s="1"/>
  <c r="Q99" i="1"/>
  <c r="R99" i="1" s="1" a="1"/>
  <c r="R99" i="1" s="1"/>
  <c r="Q129" i="1"/>
  <c r="R129" i="1" s="1" a="1"/>
  <c r="R129" i="1" s="1"/>
  <c r="Q39" i="1"/>
  <c r="R39" i="1" s="1" a="1"/>
  <c r="R39" i="1" s="1"/>
  <c r="Q88" i="1"/>
  <c r="R88" i="1" s="1" a="1"/>
  <c r="R88" i="1" s="1"/>
  <c r="Q3" i="1"/>
  <c r="R3" i="1" s="1" a="1"/>
  <c r="R3" i="1" s="1"/>
  <c r="Q193" i="1"/>
  <c r="R193" i="1" s="1" a="1"/>
  <c r="R193" i="1" s="1"/>
  <c r="Q112" i="1"/>
  <c r="R112" i="1" s="1" a="1"/>
  <c r="R112" i="1" s="1"/>
  <c r="Q47" i="1"/>
  <c r="R47" i="1" s="1" a="1"/>
  <c r="R47" i="1" s="1"/>
  <c r="Q221" i="1"/>
  <c r="R221" i="1" s="1" a="1"/>
  <c r="R221" i="1" s="1"/>
  <c r="Q156" i="1"/>
  <c r="R156" i="1" s="1" a="1"/>
  <c r="R156" i="1" s="1"/>
  <c r="Q123" i="1"/>
  <c r="R123" i="1" s="1" a="1"/>
  <c r="R123" i="1" s="1"/>
  <c r="Q42" i="1"/>
  <c r="R42" i="1" s="1" a="1"/>
  <c r="R42" i="1" s="1"/>
  <c r="Q184" i="1"/>
  <c r="R184" i="1" s="1" a="1"/>
  <c r="R184" i="1" s="1"/>
  <c r="Q135" i="1"/>
  <c r="R135" i="1" s="1" a="1"/>
  <c r="R135" i="1" s="1"/>
  <c r="Q166" i="1"/>
  <c r="R166" i="1" s="1" a="1"/>
  <c r="R166" i="1" s="1"/>
  <c r="Q53" i="1"/>
  <c r="R53" i="1" s="1" a="1"/>
  <c r="R53" i="1" s="1"/>
  <c r="Q228" i="1"/>
  <c r="R228" i="1" s="1" a="1"/>
  <c r="R228" i="1" s="1"/>
  <c r="Q76" i="1"/>
  <c r="R76" i="1" s="1" a="1"/>
  <c r="R76" i="1" s="1"/>
  <c r="Q218" i="1"/>
  <c r="R218" i="1" s="1" a="1"/>
  <c r="R218" i="1" s="1"/>
  <c r="Q70" i="1"/>
  <c r="R70" i="1" s="1" a="1"/>
  <c r="R70" i="1" s="1"/>
  <c r="Q177" i="1"/>
  <c r="R177" i="1" s="1" a="1"/>
  <c r="R177" i="1" s="1"/>
  <c r="Q96" i="1"/>
  <c r="R96" i="1" s="1" a="1"/>
  <c r="R96" i="1" s="1"/>
  <c r="Q31" i="1"/>
  <c r="R31" i="1" s="1" a="1"/>
  <c r="R31" i="1" s="1"/>
  <c r="Q205" i="1"/>
  <c r="R205" i="1" s="1" a="1"/>
  <c r="R205" i="1" s="1"/>
  <c r="Q140" i="1"/>
  <c r="R140" i="1" s="1" a="1"/>
  <c r="R140" i="1" s="1"/>
  <c r="Q107" i="1"/>
  <c r="R107" i="1" s="1" a="1"/>
  <c r="R107" i="1" s="1"/>
  <c r="Q26" i="1"/>
  <c r="R26" i="1" s="1" a="1"/>
  <c r="R26" i="1" s="1"/>
  <c r="Q168" i="1"/>
  <c r="R168" i="1" s="1" a="1"/>
  <c r="R168" i="1" s="1"/>
  <c r="Q119" i="1"/>
  <c r="R119" i="1" s="1" a="1"/>
  <c r="R119" i="1" s="1"/>
  <c r="Q150" i="1"/>
  <c r="R150" i="1" s="1" a="1"/>
  <c r="R150" i="1" s="1"/>
  <c r="Q21" i="1"/>
  <c r="R21" i="1" s="1" a="1"/>
  <c r="R21" i="1" s="1"/>
  <c r="Q212" i="1"/>
  <c r="R212" i="1" s="1" a="1"/>
  <c r="R212" i="1" s="1"/>
  <c r="Q32" i="1"/>
  <c r="R32" i="1" s="1" a="1"/>
  <c r="R32" i="1" s="1"/>
  <c r="Q83" i="1"/>
  <c r="R83" i="1" s="1" a="1"/>
  <c r="R83" i="1" s="1"/>
  <c r="Q161" i="1"/>
  <c r="R161" i="1" s="1" a="1"/>
  <c r="R161" i="1" s="1"/>
  <c r="Q64" i="1"/>
  <c r="R64" i="1" s="1" a="1"/>
  <c r="R64" i="1" s="1"/>
  <c r="Q15" i="1"/>
  <c r="R15" i="1" s="1" a="1"/>
  <c r="R15" i="1" s="1"/>
  <c r="Q189" i="1"/>
  <c r="R189" i="1" s="1" a="1"/>
  <c r="R189" i="1" s="1"/>
  <c r="Q124" i="1"/>
  <c r="R124" i="1" s="1" a="1"/>
  <c r="R124" i="1" s="1"/>
  <c r="Q91" i="1"/>
  <c r="R91" i="1" s="1" a="1"/>
  <c r="R91" i="1" s="1"/>
  <c r="Q10" i="1"/>
  <c r="R10" i="1" s="1" a="1"/>
  <c r="R10" i="1" s="1"/>
  <c r="Q217" i="1"/>
  <c r="R217" i="1" s="1" a="1"/>
  <c r="R217" i="1" s="1"/>
  <c r="Q152" i="1"/>
  <c r="R152" i="1" s="1" a="1"/>
  <c r="R152" i="1" s="1"/>
  <c r="Q103" i="1"/>
  <c r="R103" i="1" s="1" a="1"/>
  <c r="R103" i="1" s="1"/>
  <c r="Q134" i="1"/>
  <c r="R134" i="1" s="1" a="1"/>
  <c r="R134" i="1" s="1"/>
  <c r="Q196" i="1"/>
  <c r="R196" i="1" s="1" a="1"/>
  <c r="R196" i="1" s="1"/>
  <c r="Q120" i="1"/>
  <c r="R120" i="1" s="1" a="1"/>
  <c r="R120" i="1" s="1"/>
  <c r="Q141" i="1"/>
  <c r="R141" i="1" s="1" a="1"/>
  <c r="R141" i="1" s="1"/>
  <c r="Q11" i="1"/>
  <c r="R11" i="1" s="1" a="1"/>
  <c r="R11" i="1" s="1"/>
  <c r="Q84" i="1"/>
  <c r="R84" i="1" s="1" a="1"/>
  <c r="R84" i="1" s="1"/>
  <c r="Q145" i="1"/>
  <c r="R145" i="1" s="1" a="1"/>
  <c r="R145" i="1" s="1"/>
  <c r="Q48" i="1"/>
  <c r="R48" i="1" s="1" a="1"/>
  <c r="R48" i="1" s="1"/>
  <c r="Q222" i="1"/>
  <c r="R222" i="1" s="1" a="1"/>
  <c r="R222" i="1" s="1"/>
  <c r="Q173" i="1"/>
  <c r="R173" i="1" s="1" a="1"/>
  <c r="R173" i="1" s="1"/>
  <c r="Q108" i="1"/>
  <c r="R108" i="1" s="1" a="1"/>
  <c r="R108" i="1" s="1"/>
  <c r="Q59" i="1"/>
  <c r="R59" i="1" s="1" a="1"/>
  <c r="R59" i="1" s="1"/>
  <c r="Q201" i="1"/>
  <c r="R201" i="1" s="1" a="1"/>
  <c r="R201" i="1" s="1"/>
  <c r="Q136" i="1"/>
  <c r="R136" i="1" s="1" a="1"/>
  <c r="R136" i="1" s="1"/>
  <c r="Q87" i="1"/>
  <c r="R87" i="1" s="1" a="1"/>
  <c r="R87" i="1" s="1"/>
  <c r="Q118" i="1"/>
  <c r="R118" i="1" s="1" a="1"/>
  <c r="R118" i="1" s="1"/>
  <c r="Q180" i="1"/>
  <c r="R180" i="1" s="1" a="1"/>
  <c r="R180" i="1" s="1"/>
  <c r="Q206" i="1"/>
  <c r="R206" i="1" s="1" a="1"/>
  <c r="R206" i="1" s="1"/>
  <c r="Q102" i="1"/>
  <c r="R102" i="1" s="1" a="1"/>
  <c r="R102" i="1" s="1"/>
  <c r="Q16" i="1"/>
  <c r="R16" i="1" s="1" a="1"/>
  <c r="R16" i="1" s="1"/>
  <c r="Q223" i="1"/>
  <c r="R223" i="1" s="1" a="1"/>
  <c r="R223" i="1" s="1"/>
  <c r="Q229" i="1"/>
  <c r="R229" i="1" s="1" a="1"/>
  <c r="R229" i="1" s="1"/>
  <c r="Q49" i="1"/>
  <c r="R49" i="1" s="1" a="1"/>
  <c r="R49" i="1" s="1"/>
  <c r="Q50" i="1"/>
  <c r="R50" i="1" s="1" a="1"/>
  <c r="R50" i="1" s="1"/>
  <c r="Q51" i="1"/>
  <c r="R51" i="1" s="1" a="1"/>
  <c r="R51" i="1" s="1"/>
  <c r="Q72" i="1"/>
  <c r="R72" i="1" s="1" a="1"/>
  <c r="R72" i="1" s="1"/>
  <c r="Q73" i="1"/>
  <c r="R73" i="1" s="1" a="1"/>
  <c r="R73" i="1" s="1"/>
  <c r="Q52" i="1"/>
  <c r="R52" i="1" s="1" a="1"/>
  <c r="R52" i="1" s="1"/>
  <c r="Q75" i="1"/>
  <c r="R75" i="1" s="1" a="1"/>
  <c r="R75" i="1" s="1"/>
  <c r="Q74" i="1"/>
  <c r="R74" i="1" s="1" a="1"/>
  <c r="R7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<sst xmlns="http://schemas.openxmlformats.org/spreadsheetml/2006/main" count="100" uniqueCount="19">
  <si>
    <t>Time_sec</t>
  </si>
  <si>
    <t>time offset</t>
  </si>
  <si>
    <t>part 2</t>
  </si>
  <si>
    <t>logic</t>
  </si>
  <si>
    <t>tau</t>
  </si>
  <si>
    <t>start temp</t>
  </si>
  <si>
    <t>end temp</t>
  </si>
  <si>
    <t>temp at tau</t>
  </si>
  <si>
    <t>start time</t>
  </si>
  <si>
    <t>test1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</si>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</sst>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5.7307305336832898E-2"/>
                  <c:y val="-0.249521726450860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Sheet1!$C$50:$C$70</c:f>
              <c:numCache>
                <c:formatCode>General</c:formatCode>
                <c:ptCount val="21"/>
                <c:pt idx="0">
                  <c:v>0.80000000000000071</c:v>
                </c:pt>
                <c:pt idx="1">
                  <c:v>1.0500000000000007</c:v>
                </c:pt>
                <c:pt idx="2">
                  <c:v>1.3000000000000007</c:v>
                </c:pt>
                <c:pt idx="3">
                  <c:v>1.5500000000000007</c:v>
                </c:pt>
                <c:pt idx="4">
                  <c:v>1.8000000000000007</c:v>
                </c:pt>
                <c:pt idx="5">
                  <c:v>2.0510000000000002</c:v>
                </c:pt>
                <c:pt idx="6">
                  <c:v>2.3000000000000007</c:v>
                </c:pt>
                <c:pt idx="7">
                  <c:v>2.5500000000000007</c:v>
                </c:pt>
                <c:pt idx="8">
                  <c:v>2.8000000000000007</c:v>
                </c:pt>
                <c:pt idx="9">
                  <c:v>3.0500000000000007</c:v>
                </c:pt>
                <c:pt idx="10">
                  <c:v>3.3000000000000007</c:v>
                </c:pt>
                <c:pt idx="11">
                  <c:v>3.5500000000000007</c:v>
                </c:pt>
                <c:pt idx="12">
                  <c:v>3.8000000000000007</c:v>
                </c:pt>
                <c:pt idx="13">
                  <c:v>4.0500000000000007</c:v>
                </c:pt>
                <c:pt idx="14">
                  <c:v>4.3000000000000007</c:v>
                </c:pt>
                <c:pt idx="15">
                  <c:v>4.5500000000000007</c:v>
                </c:pt>
                <c:pt idx="16">
                  <c:v>4.8000000000000007</c:v>
                </c:pt>
                <c:pt idx="17">
                  <c:v>5.0500000000000007</c:v>
                </c:pt>
                <c:pt idx="18">
                  <c:v>5.3000000000000007</c:v>
                </c:pt>
                <c:pt idx="19">
                  <c:v>5.5500000000000007</c:v>
                </c:pt>
                <c:pt idx="20">
                  <c:v>5.8000000000000007</c:v>
                </c:pt>
              </c:numCache>
            </c:numRef>
          </c:xVal>
          <c:yVal>
            <c:numRef>
              <c:f>Sheet1!$D$50:$D$70</c:f>
              <c:numCache>
                <c:formatCode>General</c:formatCode>
                <c:ptCount val="21"/>
                <c:pt idx="0">
                  <c:v>0.76512756208907451</c:v>
                </c:pt>
                <c:pt idx="1">
                  <c:v>0.63119203964400128</c:v>
                </c:pt>
                <c:pt idx="2">
                  <c:v>0.51563982420119292</c:v>
                </c:pt>
                <c:pt idx="3">
                  <c:v>0.40271379547299396</c:v>
                </c:pt>
                <c:pt idx="4">
                  <c:v>0.33705912760776197</c:v>
                </c:pt>
                <c:pt idx="5">
                  <c:v>0.28716158003018566</c:v>
                </c:pt>
                <c:pt idx="6">
                  <c:v>0.23463784573800006</c:v>
                </c:pt>
                <c:pt idx="7">
                  <c:v>0.20312360516268871</c:v>
                </c:pt>
                <c:pt idx="8">
                  <c:v>0.17423555130198662</c:v>
                </c:pt>
                <c:pt idx="9">
                  <c:v>0.140095124012066</c:v>
                </c:pt>
                <c:pt idx="10">
                  <c:v>0.1138332568659732</c:v>
                </c:pt>
                <c:pt idx="11">
                  <c:v>8.7571389719880405E-2</c:v>
                </c:pt>
                <c:pt idx="12">
                  <c:v>7.1814269432224728E-2</c:v>
                </c:pt>
                <c:pt idx="13">
                  <c:v>5.8683335859178336E-2</c:v>
                </c:pt>
                <c:pt idx="14">
                  <c:v>4.5552402286131936E-2</c:v>
                </c:pt>
                <c:pt idx="15">
                  <c:v>3.5047655427694821E-2</c:v>
                </c:pt>
                <c:pt idx="16">
                  <c:v>2.979528199847626E-2</c:v>
                </c:pt>
                <c:pt idx="17">
                  <c:v>2.1916721854648422E-2</c:v>
                </c:pt>
                <c:pt idx="18">
                  <c:v>1.9290535140039141E-2</c:v>
                </c:pt>
                <c:pt idx="19">
                  <c:v>1.666434842542986E-2</c:v>
                </c:pt>
                <c:pt idx="20">
                  <c:v>1.1411974996211303E-2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C-488C-BAF6-59E041816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332463"/>
        <c:axId val="542330063"/>
      </c:scatterChart>
      <c:valAx>
        <c:axId val="54233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30063"/>
        <c:crosses val="autoZero"/>
        <c:crossBetween val="midCat"/>
      </c:valAx>
      <c:valAx>
        <c:axId val="5423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3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5.6866797900262465E-2"/>
                  <c:y val="-0.215578521434820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Sheet1!$P$91:$P$99</c:f>
              <c:numCache>
                <c:formatCode>General</c:formatCode>
                <c:ptCount val="9"/>
                <c:pt idx="0">
                  <c:v>1.25</c:v>
                </c:pt>
                <c:pt idx="1">
                  <c:v>1.5</c:v>
                </c:pt>
                <c:pt idx="2">
                  <c:v>1.75</c:v>
                </c:pt>
                <c:pt idx="3">
                  <c:v>2</c:v>
                </c:pt>
                <c:pt idx="4">
                  <c:v>2.25</c:v>
                </c:pt>
                <c:pt idx="5">
                  <c:v>2.5</c:v>
                </c:pt>
                <c:pt idx="6">
                  <c:v>2.75</c:v>
                </c:pt>
                <c:pt idx="7">
                  <c:v>3</c:v>
                </c:pt>
                <c:pt idx="8">
                  <c:v>3.25</c:v>
                </c:pt>
              </c:numCache>
            </c:numRef>
          </c:xVal>
          <c:yVal>
            <c:numRef>
              <c:f>Sheet1!$Q$91:$Q$99</c:f>
              <c:numCache>
                <c:formatCode>General</c:formatCode>
                <c:ptCount val="9"/>
                <c:pt idx="0">
                  <c:v>0.57723624903807402</c:v>
                </c:pt>
                <c:pt idx="1">
                  <c:v>0.44502180365715127</c:v>
                </c:pt>
                <c:pt idx="2">
                  <c:v>0.373626003151453</c:v>
                </c:pt>
                <c:pt idx="3">
                  <c:v>0.31545164718384694</c:v>
                </c:pt>
                <c:pt idx="4">
                  <c:v>0.28636446920004399</c:v>
                </c:pt>
                <c:pt idx="5">
                  <c:v>0.26256586903147788</c:v>
                </c:pt>
                <c:pt idx="6">
                  <c:v>0.24141155777053025</c:v>
                </c:pt>
                <c:pt idx="7">
                  <c:v>0.22819011323243799</c:v>
                </c:pt>
                <c:pt idx="8">
                  <c:v>0.21496866869434569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7-473F-8768-7417C61D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489647"/>
        <c:axId val="1942492047"/>
      </c:scatterChart>
      <c:valAx>
        <c:axId val="194248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92047"/>
        <c:crosses val="autoZero"/>
        <c:crossBetween val="midCat"/>
      </c:valAx>
      <c:valAx>
        <c:axId val="19424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Sheet1!$AC$56:$AC$66</c:f>
              <c:numCache>
                <c:formatCode>General</c:formatCode>
                <c:ptCount val="11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2.2510000000000012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</c:numCache>
            </c:numRef>
          </c:xVal>
          <c:yVal>
            <c:numRef>
              <c:f>Sheet1!$AD$56:$AD$66</c:f>
              <c:numCache>
                <c:formatCode>General</c:formatCode>
                <c:ptCount val="11"/>
                <c:pt idx="0">
                  <c:v>0.89901024283576925</c:v>
                </c:pt>
                <c:pt idx="1">
                  <c:v>0.74053400851651507</c:v>
                </c:pt>
                <c:pt idx="2">
                  <c:v>0.5820577741972609</c:v>
                </c:pt>
                <c:pt idx="3">
                  <c:v>0.51602600989757164</c:v>
                </c:pt>
                <c:pt idx="4">
                  <c:v>0.43678789273794449</c:v>
                </c:pt>
                <c:pt idx="5">
                  <c:v>0.39716883415813092</c:v>
                </c:pt>
                <c:pt idx="6">
                  <c:v>0.37075612843825523</c:v>
                </c:pt>
                <c:pt idx="7">
                  <c:v>0.33113706985844171</c:v>
                </c:pt>
                <c:pt idx="8">
                  <c:v>0.31793071699850384</c:v>
                </c:pt>
                <c:pt idx="9">
                  <c:v>0.30472436413856596</c:v>
                </c:pt>
                <c:pt idx="10">
                  <c:v>0.30472436413856596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E3-4FD3-833C-6E7465FB1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734335"/>
        <c:axId val="626729055"/>
      </c:scatterChart>
      <c:valAx>
        <c:axId val="62673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29055"/>
        <c:crosses val="autoZero"/>
        <c:crossBetween val="midCat"/>
      </c:valAx>
      <c:valAx>
        <c:axId val="62672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3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260236220472438"/>
                  <c:y val="-0.266954286964129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Sheet1!$AP$39:$AP$51</c:f>
              <c:numCache>
                <c:formatCode>General</c:formatCode>
                <c:ptCount val="13"/>
                <c:pt idx="0">
                  <c:v>0.75</c:v>
                </c:pt>
                <c:pt idx="1">
                  <c:v>1</c:v>
                </c:pt>
                <c:pt idx="2">
                  <c:v>1.25</c:v>
                </c:pt>
                <c:pt idx="3">
                  <c:v>1.5009999999999994</c:v>
                </c:pt>
                <c:pt idx="4">
                  <c:v>1.75</c:v>
                </c:pt>
                <c:pt idx="5">
                  <c:v>2</c:v>
                </c:pt>
                <c:pt idx="6">
                  <c:v>2.25</c:v>
                </c:pt>
                <c:pt idx="7">
                  <c:v>2.5</c:v>
                </c:pt>
                <c:pt idx="8">
                  <c:v>2.75</c:v>
                </c:pt>
                <c:pt idx="9">
                  <c:v>3</c:v>
                </c:pt>
                <c:pt idx="10">
                  <c:v>3.25</c:v>
                </c:pt>
                <c:pt idx="11">
                  <c:v>3.5</c:v>
                </c:pt>
                <c:pt idx="12">
                  <c:v>3.75</c:v>
                </c:pt>
              </c:numCache>
            </c:numRef>
          </c:xVal>
          <c:yVal>
            <c:numRef>
              <c:f>Sheet1!$AQ$39:$AQ$51</c:f>
              <c:numCache>
                <c:formatCode>General</c:formatCode>
                <c:ptCount val="13"/>
                <c:pt idx="0">
                  <c:v>0.87185610612852704</c:v>
                </c:pt>
                <c:pt idx="1">
                  <c:v>0.68749362802495029</c:v>
                </c:pt>
                <c:pt idx="2">
                  <c:v>0.56682000599351834</c:v>
                </c:pt>
                <c:pt idx="3">
                  <c:v>0.48301887958280171</c:v>
                </c:pt>
                <c:pt idx="4">
                  <c:v>0.39586570811565636</c:v>
                </c:pt>
                <c:pt idx="5">
                  <c:v>0.35228912238208371</c:v>
                </c:pt>
                <c:pt idx="6">
                  <c:v>0.31541662676136839</c:v>
                </c:pt>
                <c:pt idx="7">
                  <c:v>0.27854413114065302</c:v>
                </c:pt>
                <c:pt idx="8">
                  <c:v>0.25843186080208103</c:v>
                </c:pt>
                <c:pt idx="9">
                  <c:v>0.23496754540708037</c:v>
                </c:pt>
                <c:pt idx="10">
                  <c:v>0.22491141023779437</c:v>
                </c:pt>
                <c:pt idx="11">
                  <c:v>0.20815118495565105</c:v>
                </c:pt>
                <c:pt idx="12">
                  <c:v>0.19139095967350772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7-4113-B93D-C2386D85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335823"/>
        <c:axId val="542325263"/>
      </c:scatterChart>
      <c:valAx>
        <c:axId val="54233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25263"/>
        <c:crosses val="autoZero"/>
        <c:crossBetween val="midCat"/>
      </c:valAx>
      <c:valAx>
        <c:axId val="5423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3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7.650699912510936E-2"/>
                  <c:y val="-0.19537948381452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Sheet1!$BC$72:$BC$88</c:f>
              <c:numCache>
                <c:formatCode>General</c:formatCode>
                <c:ptCount val="17"/>
                <c:pt idx="0">
                  <c:v>0.75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1.75</c:v>
                </c:pt>
                <c:pt idx="5">
                  <c:v>2</c:v>
                </c:pt>
                <c:pt idx="6">
                  <c:v>2.25</c:v>
                </c:pt>
                <c:pt idx="7">
                  <c:v>2.5</c:v>
                </c:pt>
                <c:pt idx="8">
                  <c:v>2.75</c:v>
                </c:pt>
                <c:pt idx="9">
                  <c:v>3</c:v>
                </c:pt>
                <c:pt idx="10">
                  <c:v>3.25</c:v>
                </c:pt>
                <c:pt idx="11">
                  <c:v>3.5</c:v>
                </c:pt>
                <c:pt idx="12">
                  <c:v>3.75</c:v>
                </c:pt>
                <c:pt idx="13">
                  <c:v>4</c:v>
                </c:pt>
                <c:pt idx="14">
                  <c:v>4.25</c:v>
                </c:pt>
                <c:pt idx="15">
                  <c:v>4.5</c:v>
                </c:pt>
                <c:pt idx="16">
                  <c:v>4.75</c:v>
                </c:pt>
              </c:numCache>
            </c:numRef>
          </c:xVal>
          <c:yVal>
            <c:numRef>
              <c:f>Sheet1!$BD$72:$BD$88</c:f>
              <c:numCache>
                <c:formatCode>General</c:formatCode>
                <c:ptCount val="17"/>
                <c:pt idx="0">
                  <c:v>0.84818620464516337</c:v>
                </c:pt>
                <c:pt idx="1">
                  <c:v>0.78900097935394486</c:v>
                </c:pt>
                <c:pt idx="2">
                  <c:v>0.72981575406272636</c:v>
                </c:pt>
                <c:pt idx="3">
                  <c:v>0.65448910369208479</c:v>
                </c:pt>
                <c:pt idx="4">
                  <c:v>0.60337459094057799</c:v>
                </c:pt>
                <c:pt idx="5">
                  <c:v>0.56033079072878267</c:v>
                </c:pt>
                <c:pt idx="6">
                  <c:v>0.50921627797727587</c:v>
                </c:pt>
                <c:pt idx="7">
                  <c:v>0.4769334278184294</c:v>
                </c:pt>
                <c:pt idx="8">
                  <c:v>0.44734081517282021</c:v>
                </c:pt>
                <c:pt idx="9">
                  <c:v>0.41236772750073653</c:v>
                </c:pt>
                <c:pt idx="10">
                  <c:v>0.3881555898816017</c:v>
                </c:pt>
                <c:pt idx="11">
                  <c:v>0.36125321474922972</c:v>
                </c:pt>
                <c:pt idx="12">
                  <c:v>0.33973131464333206</c:v>
                </c:pt>
                <c:pt idx="13">
                  <c:v>0.32358988956390883</c:v>
                </c:pt>
                <c:pt idx="14">
                  <c:v>0.30206798945801122</c:v>
                </c:pt>
                <c:pt idx="15">
                  <c:v>0.28592656437858799</c:v>
                </c:pt>
                <c:pt idx="16">
                  <c:v>0.27247537681240197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0B-4044-8B21-C704210A2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500207"/>
        <c:axId val="1942500687"/>
      </c:scatterChart>
      <c:valAx>
        <c:axId val="194250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00687"/>
        <c:crosses val="autoZero"/>
        <c:crossBetween val="midCat"/>
      </c:valAx>
      <c:valAx>
        <c:axId val="194250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0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14912510936133"/>
                  <c:y val="-0.275846092155147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Sheet1!$BP$61:$BP$73</c:f>
              <c:numCache>
                <c:formatCode>General</c:formatCode>
                <c:ptCount val="13"/>
                <c:pt idx="0">
                  <c:v>0.75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1.75</c:v>
                </c:pt>
                <c:pt idx="5">
                  <c:v>2</c:v>
                </c:pt>
                <c:pt idx="6">
                  <c:v>2.25</c:v>
                </c:pt>
                <c:pt idx="7">
                  <c:v>2.5</c:v>
                </c:pt>
                <c:pt idx="8">
                  <c:v>2.75</c:v>
                </c:pt>
                <c:pt idx="9">
                  <c:v>3</c:v>
                </c:pt>
                <c:pt idx="10">
                  <c:v>3.25</c:v>
                </c:pt>
                <c:pt idx="11">
                  <c:v>3.5</c:v>
                </c:pt>
                <c:pt idx="12">
                  <c:v>3.75</c:v>
                </c:pt>
              </c:numCache>
            </c:numRef>
          </c:xVal>
          <c:yVal>
            <c:numRef>
              <c:f>Sheet1!$BQ$61:$BQ$73</c:f>
              <c:numCache>
                <c:formatCode>General</c:formatCode>
                <c:ptCount val="13"/>
                <c:pt idx="0">
                  <c:v>0.86133867711972945</c:v>
                </c:pt>
                <c:pt idx="1">
                  <c:v>0.79588109369567284</c:v>
                </c:pt>
                <c:pt idx="2">
                  <c:v>0.73339885497270962</c:v>
                </c:pt>
                <c:pt idx="3">
                  <c:v>0.6560398927442791</c:v>
                </c:pt>
                <c:pt idx="4">
                  <c:v>0.60248368812459641</c:v>
                </c:pt>
                <c:pt idx="5">
                  <c:v>0.55487817290710062</c:v>
                </c:pt>
                <c:pt idx="6">
                  <c:v>0.50132196828741793</c:v>
                </c:pt>
                <c:pt idx="7">
                  <c:v>0.46859317657538962</c:v>
                </c:pt>
                <c:pt idx="8">
                  <c:v>0.43883972956445477</c:v>
                </c:pt>
                <c:pt idx="9">
                  <c:v>0.40016024845023951</c:v>
                </c:pt>
                <c:pt idx="10">
                  <c:v>0.37635749084149162</c:v>
                </c:pt>
                <c:pt idx="11">
                  <c:v>0.34660404383055676</c:v>
                </c:pt>
                <c:pt idx="12">
                  <c:v>0.32577663092290238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E-4845-8E9C-D797E5102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77743"/>
        <c:axId val="542266703"/>
      </c:scatterChart>
      <c:valAx>
        <c:axId val="54227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66703"/>
        <c:crosses val="autoZero"/>
        <c:crossBetween val="midCat"/>
      </c:valAx>
      <c:valAx>
        <c:axId val="54226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7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395669291338579E-2"/>
                  <c:y val="-0.240262467191601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Sheet1!$CC$94:$CC$97</c:f>
              <c:numCache>
                <c:formatCode>General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</c:numCache>
            </c:numRef>
          </c:xVal>
          <c:yVal>
            <c:numRef>
              <c:f>Sheet1!$CD$94:$CD$97</c:f>
              <c:numCache>
                <c:formatCode>General</c:formatCode>
                <c:ptCount val="4"/>
                <c:pt idx="0">
                  <c:v>0.84597808291208065</c:v>
                </c:pt>
                <c:pt idx="1">
                  <c:v>0.25334671781450541</c:v>
                </c:pt>
                <c:pt idx="2">
                  <c:v>8.955412947095448E-2</c:v>
                </c:pt>
                <c:pt idx="3">
                  <c:v>3.8927329437493274E-2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8-443E-99DC-9E6A6D882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730015"/>
        <c:axId val="626728095"/>
      </c:scatterChart>
      <c:valAx>
        <c:axId val="62673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28095"/>
        <c:crosses val="autoZero"/>
        <c:crossBetween val="midCat"/>
      </c:valAx>
      <c:valAx>
        <c:axId val="6267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3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218722659667542E-2"/>
                  <c:y val="-0.32819079906678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Sheet1!$CP$56:$CP$60</c:f>
              <c:numCache>
                <c:formatCode>General</c:formatCode>
                <c:ptCount val="5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</c:numCache>
            </c:numRef>
          </c:xVal>
          <c:yVal>
            <c:numRef>
              <c:f>Sheet1!$CQ$56:$CQ$60</c:f>
              <c:numCache>
                <c:formatCode>General</c:formatCode>
                <c:ptCount val="5"/>
                <c:pt idx="0">
                  <c:v>0.33770848917641999</c:v>
                </c:pt>
                <c:pt idx="1">
                  <c:v>0.12345437713997356</c:v>
                </c:pt>
                <c:pt idx="2">
                  <c:v>7.8934042171361324E-2</c:v>
                </c:pt>
                <c:pt idx="3">
                  <c:v>5.6673874687055203E-2</c:v>
                </c:pt>
                <c:pt idx="4">
                  <c:v>4.8326311880440412E-2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F-4988-9363-FA5A3511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76303"/>
        <c:axId val="542269103"/>
      </c:scatterChart>
      <c:valAx>
        <c:axId val="54227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69103"/>
        <c:crosses val="autoZero"/>
        <c:crossBetween val="midCat"/>
      </c:valAx>
      <c:valAx>
        <c:axId val="54226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7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6.9997812773403322E-3"/>
                  <c:y val="-0.18234106153397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Sheet1!$DC$59:$DC$75</c:f>
              <c:numCache>
                <c:formatCode>General</c:formatCode>
                <c:ptCount val="17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  <c:pt idx="11">
                  <c:v>3.25</c:v>
                </c:pt>
                <c:pt idx="12">
                  <c:v>3.5</c:v>
                </c:pt>
                <c:pt idx="13">
                  <c:v>3.75</c:v>
                </c:pt>
                <c:pt idx="14">
                  <c:v>4</c:v>
                </c:pt>
                <c:pt idx="15">
                  <c:v>4.25</c:v>
                </c:pt>
                <c:pt idx="16">
                  <c:v>4.5</c:v>
                </c:pt>
              </c:numCache>
            </c:numRef>
          </c:xVal>
          <c:yVal>
            <c:numRef>
              <c:f>Sheet1!$DD$59:$DD$75</c:f>
              <c:numCache>
                <c:formatCode>General</c:formatCode>
                <c:ptCount val="17"/>
                <c:pt idx="0">
                  <c:v>0.88802775252235466</c:v>
                </c:pt>
                <c:pt idx="1">
                  <c:v>0.79522098740367375</c:v>
                </c:pt>
                <c:pt idx="2">
                  <c:v>0.68554026499068732</c:v>
                </c:pt>
                <c:pt idx="3">
                  <c:v>0.62366908824490008</c:v>
                </c:pt>
                <c:pt idx="4">
                  <c:v>0.57304721636198319</c:v>
                </c:pt>
                <c:pt idx="5">
                  <c:v>0.51117603961619595</c:v>
                </c:pt>
                <c:pt idx="6">
                  <c:v>0.46899114638043193</c:v>
                </c:pt>
                <c:pt idx="7">
                  <c:v>0.4296185793603855</c:v>
                </c:pt>
                <c:pt idx="8">
                  <c:v>0.38743368612462148</c:v>
                </c:pt>
                <c:pt idx="9">
                  <c:v>0.35649809775172786</c:v>
                </c:pt>
                <c:pt idx="10">
                  <c:v>0.333999488025987</c:v>
                </c:pt>
                <c:pt idx="11">
                  <c:v>0.30306389965309338</c:v>
                </c:pt>
                <c:pt idx="12">
                  <c:v>0.28337761614307017</c:v>
                </c:pt>
                <c:pt idx="13">
                  <c:v>0.25806668020161178</c:v>
                </c:pt>
                <c:pt idx="14">
                  <c:v>0.23838039669158856</c:v>
                </c:pt>
                <c:pt idx="15">
                  <c:v>0.22150643939728293</c:v>
                </c:pt>
                <c:pt idx="16">
                  <c:v>0.20182015588725971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D-461A-83A6-5F24E63B5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763615"/>
        <c:axId val="626767455"/>
      </c:scatterChart>
      <c:valAx>
        <c:axId val="62676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67455"/>
        <c:crosses val="autoZero"/>
        <c:crossBetween val="midCat"/>
      </c:valAx>
      <c:valAx>
        <c:axId val="62676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6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0352143482064747E-3"/>
                  <c:y val="-0.291188393117526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Sheet1!$DP$53:$DP$67</c:f>
              <c:numCache>
                <c:formatCode>General</c:formatCode>
                <c:ptCount val="15"/>
                <c:pt idx="0">
                  <c:v>0.5</c:v>
                </c:pt>
                <c:pt idx="1">
                  <c:v>0.75</c:v>
                </c:pt>
                <c:pt idx="2">
                  <c:v>1.0009999999999994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  <c:pt idx="11">
                  <c:v>3.25</c:v>
                </c:pt>
                <c:pt idx="12">
                  <c:v>3.5</c:v>
                </c:pt>
                <c:pt idx="13">
                  <c:v>3.75</c:v>
                </c:pt>
                <c:pt idx="14">
                  <c:v>4</c:v>
                </c:pt>
              </c:numCache>
            </c:numRef>
          </c:xVal>
          <c:yVal>
            <c:numRef>
              <c:f>Sheet1!$DQ$53:$DQ$67</c:f>
              <c:numCache>
                <c:formatCode>General</c:formatCode>
                <c:ptCount val="15"/>
                <c:pt idx="0">
                  <c:v>0.60097788376086758</c:v>
                </c:pt>
                <c:pt idx="1">
                  <c:v>0.42829853918334687</c:v>
                </c:pt>
                <c:pt idx="2">
                  <c:v>0.31140790593087131</c:v>
                </c:pt>
                <c:pt idx="3">
                  <c:v>0.20514369388316625</c:v>
                </c:pt>
                <c:pt idx="4">
                  <c:v>0.15998140376289161</c:v>
                </c:pt>
                <c:pt idx="5">
                  <c:v>0.1281021401485801</c:v>
                </c:pt>
                <c:pt idx="6">
                  <c:v>9.8879481835461205E-2</c:v>
                </c:pt>
                <c:pt idx="7">
                  <c:v>8.0283244727112818E-2</c:v>
                </c:pt>
                <c:pt idx="8">
                  <c:v>6.1687007618764438E-2</c:v>
                </c:pt>
                <c:pt idx="9">
                  <c:v>5.1060586413993934E-2</c:v>
                </c:pt>
                <c:pt idx="10">
                  <c:v>4.0434165209223424E-2</c:v>
                </c:pt>
                <c:pt idx="11">
                  <c:v>3.2464349305645547E-2</c:v>
                </c:pt>
                <c:pt idx="12">
                  <c:v>2.7151138703260295E-2</c:v>
                </c:pt>
                <c:pt idx="13">
                  <c:v>2.1837928100875044E-2</c:v>
                </c:pt>
                <c:pt idx="14">
                  <c:v>1.9181322799682418E-2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C-43FF-B13B-45BFAA10A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799135"/>
        <c:axId val="626796735"/>
      </c:scatterChart>
      <c:valAx>
        <c:axId val="62679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96735"/>
        <c:crosses val="autoZero"/>
        <c:crossBetween val="midCat"/>
      </c:valAx>
      <c:valAx>
        <c:axId val="6267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9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</xdr:colOff>
      <xdr:row>8</xdr:row>
      <xdr:rowOff>2721</xdr:rowOff>
    </xdr:from>
    <xdr:to>
      <xdr:col>12</xdr:col>
      <xdr:colOff>2721</xdr:colOff>
      <xdr:row>22</xdr:row>
      <xdr:rowOff>155121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1FDEF-A6AF-A58F-78D0-2DB2601A4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136070</xdr:colOff>
      <xdr:row>6</xdr:row>
      <xdr:rowOff>39656</xdr:rowOff>
    </xdr:from>
    <xdr:to>
      <xdr:col>25</xdr:col>
      <xdr:colOff>136070</xdr:colOff>
      <xdr:row>20</xdr:row>
      <xdr:rowOff>170285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5095A2-4687-F878-1C79-62B230533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112743</xdr:colOff>
      <xdr:row>7</xdr:row>
      <xdr:rowOff>55207</xdr:rowOff>
    </xdr:from>
    <xdr:to>
      <xdr:col>37</xdr:col>
      <xdr:colOff>388776</xdr:colOff>
      <xdr:row>21</xdr:row>
      <xdr:rowOff>185836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483FCD-F61E-7CA2-D5CB-1FDD36960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97193</xdr:colOff>
      <xdr:row>5</xdr:row>
      <xdr:rowOff>62981</xdr:rowOff>
    </xdr:from>
    <xdr:to>
      <xdr:col>51</xdr:col>
      <xdr:colOff>97193</xdr:colOff>
      <xdr:row>20</xdr:row>
      <xdr:rowOff>6998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92718AE-56C3-FE98-F578-0558FD994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128295</xdr:colOff>
      <xdr:row>7</xdr:row>
      <xdr:rowOff>31880</xdr:rowOff>
    </xdr:from>
    <xdr:to>
      <xdr:col>64</xdr:col>
      <xdr:colOff>128295</xdr:colOff>
      <xdr:row>21</xdr:row>
      <xdr:rowOff>162509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20E0317-2287-B8C3-C6EF-7125D40D0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70</xdr:col>
      <xdr:colOff>19438</xdr:colOff>
      <xdr:row>6</xdr:row>
      <xdr:rowOff>117411</xdr:rowOff>
    </xdr:from>
    <xdr:to>
      <xdr:col>77</xdr:col>
      <xdr:colOff>19438</xdr:colOff>
      <xdr:row>21</xdr:row>
      <xdr:rowOff>61427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F11E727-C2C9-F4E1-D86F-563DBBEC2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83</xdr:col>
      <xdr:colOff>147735</xdr:colOff>
      <xdr:row>6</xdr:row>
      <xdr:rowOff>86309</xdr:rowOff>
    </xdr:from>
    <xdr:to>
      <xdr:col>90</xdr:col>
      <xdr:colOff>147735</xdr:colOff>
      <xdr:row>21</xdr:row>
      <xdr:rowOff>30325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6647396-38E5-6BF8-1782-F67469AB8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96</xdr:col>
      <xdr:colOff>104969</xdr:colOff>
      <xdr:row>7</xdr:row>
      <xdr:rowOff>78533</xdr:rowOff>
    </xdr:from>
    <xdr:to>
      <xdr:col>103</xdr:col>
      <xdr:colOff>104969</xdr:colOff>
      <xdr:row>22</xdr:row>
      <xdr:rowOff>22549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D9FE14D-6CF1-67C6-7318-3C135B4D3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109</xdr:col>
      <xdr:colOff>143846</xdr:colOff>
      <xdr:row>9</xdr:row>
      <xdr:rowOff>8553</xdr:rowOff>
    </xdr:from>
    <xdr:to>
      <xdr:col>116</xdr:col>
      <xdr:colOff>143846</xdr:colOff>
      <xdr:row>23</xdr:row>
      <xdr:rowOff>139182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2E2F020-38EA-04CC-E173-6AA89CBBC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122</xdr:col>
      <xdr:colOff>237152</xdr:colOff>
      <xdr:row>7</xdr:row>
      <xdr:rowOff>101859</xdr:rowOff>
    </xdr:from>
    <xdr:to>
      <xdr:col>129</xdr:col>
      <xdr:colOff>237152</xdr:colOff>
      <xdr:row>22</xdr:row>
      <xdr:rowOff>45875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FBC6D2B-9A70-EECC-2BE9-4BEEF8AE9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A4CE-9E8C-40B3-8334-6EB73040F6F1}">
  <dimension ref="A1:DT261"/>
  <sheetViews>
    <sheetView tabSelected="1" topLeftCell="DH1" zoomScaleNormal="100" workbookViewId="0">
      <selection activeCell="CU6" sqref="CU6"/>
    </sheetView>
  </sheetViews>
  <sheetFormatPr defaultRowHeight="14.6" x14ac:dyDescent="0.4"/>
  <sheetData>
    <row r="1" spans="1:124" x14ac:dyDescent="0.4">
      <c r="A1" t="s">
        <v>0</v>
      </c>
      <c r="B1" t="s">
        <v>9</v>
      </c>
      <c r="C1" t="s">
        <v>1</v>
      </c>
      <c r="D1" t="s">
        <v>2</v>
      </c>
      <c r="E1" t="s">
        <v>3</v>
      </c>
      <c r="G1" t="s">
        <v>5</v>
      </c>
      <c r="H1">
        <f>AVERAGE(B2:B47)</f>
        <v>4.6413043478260869</v>
      </c>
      <c r="N1" t="s">
        <v>0</v>
      </c>
      <c r="O1" t="s">
        <v>10</v>
      </c>
      <c r="P1" t="s">
        <v>1</v>
      </c>
      <c r="Q1" t="s">
        <v>2</v>
      </c>
      <c r="R1" t="s">
        <v>3</v>
      </c>
      <c r="S1" t="s">
        <v>5</v>
      </c>
      <c r="T1">
        <f>AVERAGE(O2:O83)</f>
        <v>101.96951219512195</v>
      </c>
      <c r="AA1" t="s">
        <v>0</v>
      </c>
      <c r="AB1" t="s">
        <v>11</v>
      </c>
      <c r="AC1" t="s">
        <v>1</v>
      </c>
      <c r="AD1" t="s">
        <v>2</v>
      </c>
      <c r="AE1" t="s">
        <v>3</v>
      </c>
      <c r="AG1" t="s">
        <v>5</v>
      </c>
      <c r="AH1">
        <f>AVERAGE(AB2:AB52)</f>
        <v>7.0882352941176467</v>
      </c>
      <c r="AN1" t="s">
        <v>0</v>
      </c>
      <c r="AO1" t="s">
        <v>12</v>
      </c>
      <c r="AP1" t="s">
        <v>1</v>
      </c>
      <c r="AQ1" t="s">
        <v>2</v>
      </c>
      <c r="AR1" t="s">
        <v>3</v>
      </c>
      <c r="AS1" t="s">
        <v>5</v>
      </c>
      <c r="AT1">
        <f>AVERAGE(AO2:AO36)</f>
        <v>101.55714285714286</v>
      </c>
      <c r="BA1" t="s">
        <v>0</v>
      </c>
      <c r="BB1" t="s">
        <v>13</v>
      </c>
      <c r="BC1" t="s">
        <v>1</v>
      </c>
      <c r="BD1" t="s">
        <v>2</v>
      </c>
      <c r="BE1" t="s">
        <v>3</v>
      </c>
      <c r="BG1" t="s">
        <v>5</v>
      </c>
      <c r="BH1">
        <f>AVERAGE(BB2:BB52)</f>
        <v>99.857843137254903</v>
      </c>
      <c r="BN1" t="s">
        <v>0</v>
      </c>
      <c r="BO1" t="s">
        <v>14</v>
      </c>
      <c r="BP1" t="s">
        <v>1</v>
      </c>
      <c r="BQ1" t="s">
        <v>2</v>
      </c>
      <c r="BR1" t="s">
        <v>3</v>
      </c>
      <c r="BS1" t="s">
        <v>5</v>
      </c>
      <c r="BT1">
        <f>AVERAGE(BO2:BO59)</f>
        <v>6.5991379310344831</v>
      </c>
      <c r="CA1" t="s">
        <v>0</v>
      </c>
      <c r="CB1" t="s">
        <v>15</v>
      </c>
      <c r="CC1" t="s">
        <v>1</v>
      </c>
      <c r="CD1" t="s">
        <v>2</v>
      </c>
      <c r="CE1" t="s">
        <v>3</v>
      </c>
      <c r="CG1" t="s">
        <v>5</v>
      </c>
      <c r="CH1">
        <f>AVERAGE(CB2:CB90)</f>
        <v>92.42977528089888</v>
      </c>
      <c r="CN1" t="s">
        <v>0</v>
      </c>
      <c r="CO1" t="s">
        <v>16</v>
      </c>
      <c r="CP1" t="s">
        <v>1</v>
      </c>
      <c r="CQ1" t="s">
        <v>2</v>
      </c>
      <c r="CR1" t="s">
        <v>3</v>
      </c>
      <c r="CS1" t="s">
        <v>5</v>
      </c>
      <c r="CT1">
        <f>AVERAGE(CO2:CO55)</f>
        <v>6.4953703703703702</v>
      </c>
      <c r="DA1" t="s">
        <v>0</v>
      </c>
      <c r="DB1" t="s">
        <v>17</v>
      </c>
      <c r="DC1" t="s">
        <v>1</v>
      </c>
      <c r="DD1" t="s">
        <v>2</v>
      </c>
      <c r="DE1" t="s">
        <v>3</v>
      </c>
      <c r="DG1" t="s">
        <v>5</v>
      </c>
      <c r="DH1">
        <f>AVERAGE(DB5:DB58)</f>
        <v>9.0462962962962958</v>
      </c>
      <c r="DN1" t="s">
        <v>0</v>
      </c>
      <c r="DO1" t="s">
        <v>18</v>
      </c>
      <c r="DP1" t="s">
        <v>1</v>
      </c>
      <c r="DQ1" t="s">
        <v>2</v>
      </c>
      <c r="DR1" t="s">
        <v>3</v>
      </c>
      <c r="DS1" t="s">
        <v>5</v>
      </c>
      <c r="DT1">
        <f>AVERAGE(DO2:DO51)</f>
        <v>5.7</v>
      </c>
    </row>
    <row r="2" spans="1:124" x14ac:dyDescent="0.4">
      <c r="A2">
        <v>1</v>
      </c>
      <c r="B2">
        <v>4</v>
      </c>
      <c r="C2">
        <f>A2-$H$5</f>
        <v>-11.2</v>
      </c>
      <c r="D2">
        <f>(B2-$H$2)/($H$1-$H$2)</f>
        <v>1.0067367398331282</v>
      </c>
      <c r="E2" cm="1">
        <f t="array" ref="E2">_xlfn.IFS(D2&gt;0.9,0,D2&lt;0.01,0)</f>
        <v>0</v>
      </c>
      <c r="G2" t="s">
        <v>6</v>
      </c>
      <c r="H2">
        <f>AVERAGE(B75:B184)</f>
        <v>99.836363636363643</v>
      </c>
      <c r="N2">
        <v>1</v>
      </c>
      <c r="O2">
        <f>O7</f>
        <v>101.5</v>
      </c>
      <c r="P2">
        <f>N2-$T$5</f>
        <v>-21</v>
      </c>
      <c r="Q2">
        <f>(O2-$T$2)/($T$1-$T$2)</f>
        <v>0.99503389644178974</v>
      </c>
      <c r="R2" cm="1">
        <f t="array" ref="R2">_xlfn.IFS(Q2&gt;0.9,0,Q2&lt;0.01,0)</f>
        <v>0</v>
      </c>
      <c r="S2" t="s">
        <v>6</v>
      </c>
      <c r="T2">
        <f>AVERAGE(O186:O229)</f>
        <v>7.4261363636363633</v>
      </c>
      <c r="AA2">
        <v>0</v>
      </c>
      <c r="AB2">
        <v>7.5</v>
      </c>
      <c r="AC2">
        <f>AA2-$AH$5</f>
        <v>-13</v>
      </c>
      <c r="AD2">
        <f>(AB2-$AH$2)/($AH$1-$AH$2)</f>
        <v>0.97824835999539639</v>
      </c>
      <c r="AE2" cm="1">
        <f t="array" ref="AE2">_xlfn.IFS(AD2&gt;0.9,0,AD2&lt;0.01,0)</f>
        <v>0</v>
      </c>
      <c r="AG2" t="s">
        <v>6</v>
      </c>
      <c r="AH2">
        <f>AVERAGE(AB95:AB256)</f>
        <v>26.018518518518519</v>
      </c>
      <c r="AN2">
        <v>1</v>
      </c>
      <c r="AO2">
        <v>100.75</v>
      </c>
      <c r="AP2">
        <f>AN2-$AT$5</f>
        <v>-8.5</v>
      </c>
      <c r="AQ2">
        <f>(AO2-$AT$2)/($AT$1-$AT$2)</f>
        <v>0.98917768310353038</v>
      </c>
      <c r="AR2" cm="1">
        <f t="array" ref="AR2">_xlfn.IFS(AQ2&gt;0.9,0,AQ2&lt;0.01,0)</f>
        <v>0</v>
      </c>
      <c r="AS2" t="s">
        <v>6</v>
      </c>
      <c r="AT2">
        <f>AVERAGE(AO140:AO232)</f>
        <v>26.975806451612904</v>
      </c>
      <c r="BA2">
        <v>1</v>
      </c>
      <c r="BB2">
        <v>98</v>
      </c>
      <c r="BC2">
        <f>BA2-$BH$5</f>
        <v>-16.75</v>
      </c>
      <c r="BD2">
        <f>(BB2-$BH$2)/($BH$1-$BH$2)</f>
        <v>0.98000784279378628</v>
      </c>
      <c r="BE2" cm="1">
        <f t="array" ref="BE2">_xlfn.IFS(BD2&gt;0.9,0,BD2&lt;0.01,0)</f>
        <v>0</v>
      </c>
      <c r="BG2" t="s">
        <v>6</v>
      </c>
      <c r="BH2">
        <f>AVERAGE(BB194:BB246)</f>
        <v>6.9292452830188678</v>
      </c>
      <c r="BN2">
        <v>1</v>
      </c>
      <c r="BO2">
        <v>6.5</v>
      </c>
      <c r="BP2">
        <f>BN2-$BT$5</f>
        <v>-14</v>
      </c>
      <c r="BQ2">
        <f>(BO2-$BT$2)/($BT$1-$BT$2)</f>
        <v>1.0011798780711232</v>
      </c>
      <c r="BR2" cm="1">
        <f t="array" ref="BR2">_xlfn.IFS(BQ2&gt;0.9,0,BQ2&lt;0.01,0)</f>
        <v>0</v>
      </c>
      <c r="BS2" t="s">
        <v>6</v>
      </c>
      <c r="BT2">
        <f>AVERAGE(BO184:BO246)</f>
        <v>90.623015873015873</v>
      </c>
      <c r="CA2">
        <v>1</v>
      </c>
      <c r="CB2">
        <v>91.5</v>
      </c>
      <c r="CC2">
        <f>CA2-$CH$5</f>
        <v>-22.25</v>
      </c>
      <c r="CD2">
        <f>(CB2-$CH$2)/($CH$1-$CH$2)</f>
        <v>0.9889243418300887</v>
      </c>
      <c r="CE2" cm="1">
        <f t="array" ref="CE2">_xlfn.IFS(CD2&gt;0.9,0,CD2&lt;0.01,0)</f>
        <v>0</v>
      </c>
      <c r="CG2" t="s">
        <v>6</v>
      </c>
      <c r="CH2">
        <f>AVERAGE(CB150:CB247)</f>
        <v>8.4821428571428577</v>
      </c>
      <c r="CN2">
        <v>1</v>
      </c>
      <c r="CO2">
        <v>7.25</v>
      </c>
      <c r="CP2">
        <f>CN2-$CT$5</f>
        <v>-13</v>
      </c>
      <c r="CQ2">
        <f>(CO2-$CT$2)/($CT$1-$CT$2)</f>
        <v>0.9916009090279122</v>
      </c>
      <c r="CR2" cm="1">
        <f t="array" ref="CR2">_xlfn.IFS(CQ2&gt;0.9,0,CQ2&lt;0.01,0)</f>
        <v>0</v>
      </c>
      <c r="CS2" t="s">
        <v>6</v>
      </c>
      <c r="CT2">
        <f>AVERAGE(CO77:CO250)</f>
        <v>96.341954022988503</v>
      </c>
      <c r="DA2">
        <v>1</v>
      </c>
      <c r="DB2">
        <v>11</v>
      </c>
      <c r="DC2">
        <f>DA2-$DH$5</f>
        <v>-13.75</v>
      </c>
      <c r="DD2">
        <f>(DB2-$DH$2)/($DH$1-$DH$2)</f>
        <v>0.97802219142531788</v>
      </c>
      <c r="DE2" cm="1">
        <f t="array" ref="DE2">_xlfn.IFS(DD2&gt;0.9,0,DD2&lt;0.01,0)</f>
        <v>0</v>
      </c>
      <c r="DG2" t="s">
        <v>6</v>
      </c>
      <c r="DH2">
        <f>AVERAGE(DB135:DB193)</f>
        <v>97.940677966101688</v>
      </c>
      <c r="DN2">
        <v>1</v>
      </c>
      <c r="DO2">
        <v>5.5</v>
      </c>
      <c r="DP2">
        <f>DN2-$DT$5</f>
        <v>-12.25</v>
      </c>
      <c r="DQ2">
        <f>(DO2-$DT$2)/($DT$1-$DT$2)</f>
        <v>1.002125284240954</v>
      </c>
      <c r="DR2" cm="1">
        <f t="array" ref="DR2">_xlfn.IFS(DQ2&gt;0.9,0,DQ2&lt;0.01,0)</f>
        <v>0</v>
      </c>
      <c r="DS2" t="s">
        <v>6</v>
      </c>
      <c r="DT2">
        <f>AVERAGE(DO94:DO261)</f>
        <v>99.805059523809518</v>
      </c>
    </row>
    <row r="3" spans="1:124" x14ac:dyDescent="0.4">
      <c r="A3">
        <v>1.25</v>
      </c>
      <c r="B3">
        <v>4</v>
      </c>
      <c r="C3">
        <f t="shared" ref="C3:C66" si="0">A3-$H$5</f>
        <v>-10.95</v>
      </c>
      <c r="D3">
        <f t="shared" ref="D3:D66" si="1">(B3-$H$2)/($H$1-$H$2)</f>
        <v>1.0067367398331282</v>
      </c>
      <c r="E3" cm="1">
        <f t="array" ref="E3">_xlfn.IFS(D3&gt;0.9,0,D3&lt;0.01,0)</f>
        <v>0</v>
      </c>
      <c r="G3" t="s">
        <v>7</v>
      </c>
      <c r="H3">
        <f>H1+(H2-H1)*(1-EXP(-1))</f>
        <v>64.816058423014127</v>
      </c>
      <c r="N3">
        <v>1.25</v>
      </c>
      <c r="O3">
        <f t="shared" ref="O3:O6" si="2">O8</f>
        <v>102</v>
      </c>
      <c r="P3">
        <f t="shared" ref="P3:P66" si="3">N3-$T$5</f>
        <v>-20.75</v>
      </c>
      <c r="Q3">
        <f t="shared" ref="Q3:Q66" si="4">(O3-$T$2)/($T$1-$T$2)</f>
        <v>1.0003224742570267</v>
      </c>
      <c r="R3" cm="1">
        <f t="array" ref="R3">_xlfn.IFS(Q3&gt;0.9,0,Q3&lt;0.01,0)</f>
        <v>0</v>
      </c>
      <c r="S3" t="s">
        <v>7</v>
      </c>
      <c r="T3">
        <f>T1+(T2-T1)*(1-EXP(-1))</f>
        <v>42.206700630984926</v>
      </c>
      <c r="AA3">
        <v>0.25</v>
      </c>
      <c r="AB3">
        <v>7.5</v>
      </c>
      <c r="AC3">
        <f t="shared" ref="AC3:AC66" si="5">AA3-$AH$5</f>
        <v>-12.75</v>
      </c>
      <c r="AD3">
        <f t="shared" ref="AD3:AD66" si="6">(AB3-$AH$2)/($AH$1-$AH$2)</f>
        <v>0.97824835999539639</v>
      </c>
      <c r="AE3" cm="1">
        <f t="array" ref="AE3">_xlfn.IFS(AD3&gt;0.9,0,AD3&lt;0.01,0)</f>
        <v>0</v>
      </c>
      <c r="AG3" t="s">
        <v>7</v>
      </c>
      <c r="AH3">
        <f>AH1+(AH2-AH1)*(1-EXP(-1))</f>
        <v>19.054456504708796</v>
      </c>
      <c r="AN3">
        <v>1.25</v>
      </c>
      <c r="AO3">
        <v>100.75</v>
      </c>
      <c r="AP3">
        <f t="shared" ref="AP3:AP66" si="7">AN3-$AT$5</f>
        <v>-8.25</v>
      </c>
      <c r="AQ3">
        <f t="shared" ref="AQ3:AQ66" si="8">(AO3-$AT$2)/($AT$1-$AT$2)</f>
        <v>0.98917768310353038</v>
      </c>
      <c r="AR3" cm="1">
        <f t="array" ref="AR3">_xlfn.IFS(AQ3&gt;0.9,0,AQ3&lt;0.01,0)</f>
        <v>0</v>
      </c>
      <c r="AS3" t="s">
        <v>7</v>
      </c>
      <c r="AT3">
        <f>AT1+(AT2-AT1)*(1-EXP(-1))</f>
        <v>54.412746810298621</v>
      </c>
      <c r="BA3">
        <v>1.25</v>
      </c>
      <c r="BB3">
        <v>98.25</v>
      </c>
      <c r="BC3">
        <f t="shared" ref="BC3:BC66" si="9">BA3-$BH$5</f>
        <v>-16.5</v>
      </c>
      <c r="BD3">
        <f t="shared" ref="BD3:BD66" si="10">(BB3-$BH$2)/($BH$1-$BH$2)</f>
        <v>0.98269808030702344</v>
      </c>
      <c r="BE3" cm="1">
        <f t="array" ref="BE3">_xlfn.IFS(BD3&gt;0.9,0,BD3&lt;0.01,0)</f>
        <v>0</v>
      </c>
      <c r="BG3" t="s">
        <v>7</v>
      </c>
      <c r="BH3">
        <f>BH1+(BH2-BH1)*(1-EXP(-1))</f>
        <v>41.115765930480919</v>
      </c>
      <c r="BN3">
        <v>1.25</v>
      </c>
      <c r="BO3">
        <v>6.5</v>
      </c>
      <c r="BP3">
        <f t="shared" ref="BP3:BP66" si="11">BN3-$BT$5</f>
        <v>-13.75</v>
      </c>
      <c r="BQ3">
        <f t="shared" ref="BQ3:BQ66" si="12">(BO3-$BT$2)/($BT$1-$BT$2)</f>
        <v>1.0011798780711232</v>
      </c>
      <c r="BR3" cm="1">
        <f t="array" ref="BR3">_xlfn.IFS(BQ3&gt;0.9,0,BQ3&lt;0.01,0)</f>
        <v>0</v>
      </c>
      <c r="BS3" t="s">
        <v>7</v>
      </c>
      <c r="BT3">
        <f>BT1+(BT2-BT1)*(1-EXP(-1))</f>
        <v>59.712358610662285</v>
      </c>
      <c r="CA3">
        <v>1.25</v>
      </c>
      <c r="CB3">
        <v>91.75</v>
      </c>
      <c r="CC3">
        <f t="shared" ref="CC3:CC66" si="13">CA3-$CH$5</f>
        <v>-22</v>
      </c>
      <c r="CD3">
        <f t="shared" ref="CD3:CD66" si="14">(CB3-$CH$2)/($CH$1-$CH$2)</f>
        <v>0.99190238889088056</v>
      </c>
      <c r="CE3" cm="1">
        <f t="array" ref="CE3">_xlfn.IFS(CD3&gt;0.9,0,CD3&lt;0.01,0)</f>
        <v>0</v>
      </c>
      <c r="CG3" t="s">
        <v>7</v>
      </c>
      <c r="CH3">
        <f>CH1+(CH2-CH1)*(1-EXP(-1))</f>
        <v>39.36475096085988</v>
      </c>
      <c r="CN3">
        <v>1.25</v>
      </c>
      <c r="CO3">
        <v>7.25</v>
      </c>
      <c r="CP3">
        <f t="shared" ref="CP3:CP66" si="15">CN3-$CT$5</f>
        <v>-12.75</v>
      </c>
      <c r="CQ3">
        <f t="shared" ref="CQ3:CQ66" si="16">(CO3-$CT$2)/($CT$1-$CT$2)</f>
        <v>0.9916009090279122</v>
      </c>
      <c r="CR3" cm="1">
        <f t="array" ref="CR3">_xlfn.IFS(CQ3&gt;0.9,0,CQ3&lt;0.01,0)</f>
        <v>0</v>
      </c>
      <c r="CS3" t="s">
        <v>7</v>
      </c>
      <c r="CT3">
        <f>CT1+(CT2-CT1)*(1-EXP(-1))</f>
        <v>63.289243037700103</v>
      </c>
      <c r="DA3">
        <v>1.25</v>
      </c>
      <c r="DB3">
        <v>11</v>
      </c>
      <c r="DC3">
        <f t="shared" ref="DC3:DC66" si="17">DA3-$DH$5</f>
        <v>-13.5</v>
      </c>
      <c r="DD3">
        <f t="shared" ref="DD3:DD66" si="18">(DB3-$DH$2)/($DH$1-$DH$2)</f>
        <v>0.97802219142531788</v>
      </c>
      <c r="DE3" cm="1">
        <f t="array" ref="DE3">_xlfn.IFS(DD3&gt;0.9,0,DD3&lt;0.01,0)</f>
        <v>0</v>
      </c>
      <c r="DG3" t="s">
        <v>7</v>
      </c>
      <c r="DH3">
        <f>DH1+(DH2-DH1)*(1-EXP(-1))</f>
        <v>65.238262514132771</v>
      </c>
      <c r="DN3">
        <v>1.25</v>
      </c>
      <c r="DO3">
        <v>5.5</v>
      </c>
      <c r="DP3">
        <f t="shared" ref="DP3:DP66" si="19">DN3-$DT$5</f>
        <v>-12</v>
      </c>
      <c r="DQ3">
        <f t="shared" ref="DQ3:DQ66" si="20">(DO3-$DT$2)/($DT$1-$DT$2)</f>
        <v>1.002125284240954</v>
      </c>
      <c r="DR3" cm="1">
        <f t="array" ref="DR3">_xlfn.IFS(DQ3&gt;0.9,0,DQ3&lt;0.01,0)</f>
        <v>0</v>
      </c>
      <c r="DS3" t="s">
        <v>7</v>
      </c>
      <c r="DT3">
        <f>DT1+(DT2-DT1)*(1-EXP(-1))</f>
        <v>65.185742814785158</v>
      </c>
    </row>
    <row r="4" spans="1:124" x14ac:dyDescent="0.4">
      <c r="A4">
        <v>1.5</v>
      </c>
      <c r="B4">
        <v>4</v>
      </c>
      <c r="C4">
        <f t="shared" si="0"/>
        <v>-10.7</v>
      </c>
      <c r="D4">
        <f t="shared" si="1"/>
        <v>1.0067367398331282</v>
      </c>
      <c r="E4" cm="1">
        <f t="array" ref="E4">_xlfn.IFS(D4&gt;0.9,0,D4&lt;0.01,0)</f>
        <v>0</v>
      </c>
      <c r="G4" t="s">
        <v>4</v>
      </c>
      <c r="H4">
        <f>1/(0.862)</f>
        <v>1.160092807424594</v>
      </c>
      <c r="N4">
        <v>1.5</v>
      </c>
      <c r="O4">
        <f t="shared" si="2"/>
        <v>102.5</v>
      </c>
      <c r="P4">
        <f t="shared" si="3"/>
        <v>-20.5</v>
      </c>
      <c r="Q4">
        <f t="shared" si="4"/>
        <v>1.0056110520722636</v>
      </c>
      <c r="R4" cm="1">
        <f t="array" ref="R4">_xlfn.IFS(Q4&gt;0.9,0,Q4&lt;0.01,0)</f>
        <v>0</v>
      </c>
      <c r="S4" t="s">
        <v>4</v>
      </c>
      <c r="T4">
        <f>1/(0.567)</f>
        <v>1.7636684303350971</v>
      </c>
      <c r="AA4">
        <v>0.5</v>
      </c>
      <c r="AB4">
        <v>7.5</v>
      </c>
      <c r="AC4">
        <f t="shared" si="5"/>
        <v>-12.5</v>
      </c>
      <c r="AD4">
        <f t="shared" si="6"/>
        <v>0.97824835999539639</v>
      </c>
      <c r="AE4" cm="1">
        <f t="array" ref="AE4">_xlfn.IFS(AD4&gt;0.9,0,AD4&lt;0.01,0)</f>
        <v>0</v>
      </c>
      <c r="AG4" t="s">
        <v>4</v>
      </c>
      <c r="AH4">
        <f>1/(0.49)</f>
        <v>2.0408163265306123</v>
      </c>
      <c r="AN4">
        <v>1.5</v>
      </c>
      <c r="AO4">
        <v>101</v>
      </c>
      <c r="AP4">
        <f t="shared" si="7"/>
        <v>-8</v>
      </c>
      <c r="AQ4">
        <f t="shared" si="8"/>
        <v>0.9925297281599591</v>
      </c>
      <c r="AR4" cm="1">
        <f t="array" ref="AR4">_xlfn.IFS(AQ4&gt;0.9,0,AQ4&lt;0.01,0)</f>
        <v>0</v>
      </c>
      <c r="AS4" t="s">
        <v>4</v>
      </c>
      <c r="AT4">
        <f>1/(0.484)</f>
        <v>2.0661157024793391</v>
      </c>
      <c r="BA4">
        <v>1.5</v>
      </c>
      <c r="BB4">
        <v>98.5</v>
      </c>
      <c r="BC4">
        <f t="shared" si="9"/>
        <v>-16.25</v>
      </c>
      <c r="BD4">
        <f t="shared" si="10"/>
        <v>0.98538831782026071</v>
      </c>
      <c r="BE4" cm="1">
        <f t="array" ref="BE4">_xlfn.IFS(BD4&gt;0.9,0,BD4&lt;0.01,0)</f>
        <v>0</v>
      </c>
      <c r="BG4" t="s">
        <v>4</v>
      </c>
      <c r="BH4">
        <f>1/(0.287)</f>
        <v>3.4843205574912894</v>
      </c>
      <c r="BN4">
        <v>1.5</v>
      </c>
      <c r="BO4">
        <v>6.5</v>
      </c>
      <c r="BP4">
        <f t="shared" si="11"/>
        <v>-13.5</v>
      </c>
      <c r="BQ4">
        <f t="shared" si="12"/>
        <v>1.0011798780711232</v>
      </c>
      <c r="BR4" cm="1">
        <f t="array" ref="BR4">_xlfn.IFS(BQ4&gt;0.9,0,BQ4&lt;0.01,0)</f>
        <v>0</v>
      </c>
      <c r="BS4" t="s">
        <v>4</v>
      </c>
      <c r="BT4">
        <f>1/0.328</f>
        <v>3.0487804878048781</v>
      </c>
      <c r="CA4">
        <v>1.5</v>
      </c>
      <c r="CB4">
        <v>92</v>
      </c>
      <c r="CC4">
        <f t="shared" si="13"/>
        <v>-21.75</v>
      </c>
      <c r="CD4">
        <f t="shared" si="14"/>
        <v>0.99488043595167241</v>
      </c>
      <c r="CE4" cm="1">
        <f t="array" ref="CE4">_xlfn.IFS(CD4&gt;0.9,0,CD4&lt;0.01,0)</f>
        <v>0</v>
      </c>
      <c r="CG4" t="s">
        <v>4</v>
      </c>
      <c r="CH4">
        <f>1/4.111</f>
        <v>0.24324981756263683</v>
      </c>
      <c r="CN4">
        <v>1.5</v>
      </c>
      <c r="CO4">
        <v>7.25</v>
      </c>
      <c r="CP4">
        <f t="shared" si="15"/>
        <v>-12.5</v>
      </c>
      <c r="CQ4">
        <f t="shared" si="16"/>
        <v>0.9916009090279122</v>
      </c>
      <c r="CR4" cm="1">
        <f t="array" ref="CR4">_xlfn.IFS(CQ4&gt;0.9,0,CQ4&lt;0.01,0)</f>
        <v>0</v>
      </c>
      <c r="CS4" t="s">
        <v>4</v>
      </c>
      <c r="CT4">
        <f>1/(1.867)</f>
        <v>0.53561863952865563</v>
      </c>
      <c r="DA4">
        <v>1.5</v>
      </c>
      <c r="DB4">
        <v>10.75</v>
      </c>
      <c r="DC4">
        <f t="shared" si="17"/>
        <v>-13.25</v>
      </c>
      <c r="DD4">
        <f t="shared" si="18"/>
        <v>0.98083451764103557</v>
      </c>
      <c r="DE4" cm="1">
        <f t="array" ref="DE4">_xlfn.IFS(DD4&gt;0.9,0,DD4&lt;0.01,0)</f>
        <v>0</v>
      </c>
      <c r="DG4" t="s">
        <v>4</v>
      </c>
      <c r="DH4">
        <f>1/0.361</f>
        <v>2.770083102493075</v>
      </c>
      <c r="DN4">
        <v>1.5</v>
      </c>
      <c r="DO4">
        <v>5.5</v>
      </c>
      <c r="DP4">
        <f t="shared" si="19"/>
        <v>-11.75</v>
      </c>
      <c r="DQ4">
        <f t="shared" si="20"/>
        <v>1.002125284240954</v>
      </c>
      <c r="DR4" cm="1">
        <f t="array" ref="DR4">_xlfn.IFS(DQ4&gt;0.9,0,DQ4&lt;0.01,0)</f>
        <v>0</v>
      </c>
      <c r="DS4" t="s">
        <v>4</v>
      </c>
      <c r="DT4">
        <f>1/0.971</f>
        <v>1.0298661174047374</v>
      </c>
    </row>
    <row r="5" spans="1:124" x14ac:dyDescent="0.4">
      <c r="A5">
        <v>1.75</v>
      </c>
      <c r="B5">
        <v>4</v>
      </c>
      <c r="C5">
        <f t="shared" si="0"/>
        <v>-10.45</v>
      </c>
      <c r="D5">
        <f t="shared" si="1"/>
        <v>1.0067367398331282</v>
      </c>
      <c r="E5" cm="1">
        <f t="array" ref="E5">_xlfn.IFS(D5&gt;0.9,0,D5&lt;0.01,0)</f>
        <v>0</v>
      </c>
      <c r="G5" t="s">
        <v>8</v>
      </c>
      <c r="H5">
        <v>12.2</v>
      </c>
      <c r="N5">
        <v>1.75</v>
      </c>
      <c r="O5">
        <f t="shared" si="2"/>
        <v>102.5</v>
      </c>
      <c r="P5">
        <f t="shared" si="3"/>
        <v>-20.25</v>
      </c>
      <c r="Q5">
        <f t="shared" si="4"/>
        <v>1.0056110520722636</v>
      </c>
      <c r="R5" cm="1">
        <f t="array" ref="R5">_xlfn.IFS(Q5&gt;0.9,0,Q5&lt;0.01,0)</f>
        <v>0</v>
      </c>
      <c r="S5" t="s">
        <v>8</v>
      </c>
      <c r="T5">
        <v>22</v>
      </c>
      <c r="AA5">
        <v>0.75</v>
      </c>
      <c r="AB5">
        <v>7.5</v>
      </c>
      <c r="AC5">
        <f t="shared" si="5"/>
        <v>-12.25</v>
      </c>
      <c r="AD5">
        <f t="shared" si="6"/>
        <v>0.97824835999539639</v>
      </c>
      <c r="AE5" cm="1">
        <f t="array" ref="AE5">_xlfn.IFS(AD5&gt;0.9,0,AD5&lt;0.01,0)</f>
        <v>0</v>
      </c>
      <c r="AG5" t="s">
        <v>8</v>
      </c>
      <c r="AH5">
        <f>13</f>
        <v>13</v>
      </c>
      <c r="AN5">
        <v>1.75</v>
      </c>
      <c r="AO5">
        <v>101</v>
      </c>
      <c r="AP5">
        <f t="shared" si="7"/>
        <v>-7.75</v>
      </c>
      <c r="AQ5">
        <f t="shared" si="8"/>
        <v>0.9925297281599591</v>
      </c>
      <c r="AR5" cm="1">
        <f t="array" ref="AR5">_xlfn.IFS(AQ5&gt;0.9,0,AQ5&lt;0.01,0)</f>
        <v>0</v>
      </c>
      <c r="AS5" t="s">
        <v>8</v>
      </c>
      <c r="AT5">
        <v>9.5</v>
      </c>
      <c r="BA5">
        <v>1.75</v>
      </c>
      <c r="BB5">
        <v>98.75</v>
      </c>
      <c r="BC5">
        <f t="shared" si="9"/>
        <v>-16</v>
      </c>
      <c r="BD5">
        <f t="shared" si="10"/>
        <v>0.98807855533349787</v>
      </c>
      <c r="BE5" cm="1">
        <f t="array" ref="BE5">_xlfn.IFS(BD5&gt;0.9,0,BD5&lt;0.01,0)</f>
        <v>0</v>
      </c>
      <c r="BG5" t="s">
        <v>8</v>
      </c>
      <c r="BH5">
        <v>17.75</v>
      </c>
      <c r="BN5">
        <v>1.75</v>
      </c>
      <c r="BO5">
        <v>6.5</v>
      </c>
      <c r="BP5">
        <f t="shared" si="11"/>
        <v>-13.25</v>
      </c>
      <c r="BQ5">
        <f t="shared" si="12"/>
        <v>1.0011798780711232</v>
      </c>
      <c r="BR5" cm="1">
        <f t="array" ref="BR5">_xlfn.IFS(BQ5&gt;0.9,0,BQ5&lt;0.01,0)</f>
        <v>0</v>
      </c>
      <c r="BS5" t="s">
        <v>8</v>
      </c>
      <c r="BT5">
        <v>15</v>
      </c>
      <c r="CA5">
        <v>1.75</v>
      </c>
      <c r="CB5">
        <v>92.25</v>
      </c>
      <c r="CC5">
        <f t="shared" si="13"/>
        <v>-21.5</v>
      </c>
      <c r="CD5">
        <f t="shared" si="14"/>
        <v>0.99785848301246427</v>
      </c>
      <c r="CE5" cm="1">
        <f t="array" ref="CE5">_xlfn.IFS(CD5&gt;0.9,0,CD5&lt;0.01,0)</f>
        <v>0</v>
      </c>
      <c r="CG5" t="s">
        <v>8</v>
      </c>
      <c r="CH5">
        <v>23.25</v>
      </c>
      <c r="CN5">
        <v>1.75</v>
      </c>
      <c r="CO5">
        <v>7.25</v>
      </c>
      <c r="CP5">
        <f t="shared" si="15"/>
        <v>-12.25</v>
      </c>
      <c r="CQ5">
        <f t="shared" si="16"/>
        <v>0.9916009090279122</v>
      </c>
      <c r="CR5" cm="1">
        <f t="array" ref="CR5">_xlfn.IFS(CQ5&gt;0.9,0,CQ5&lt;0.01,0)</f>
        <v>0</v>
      </c>
      <c r="CS5" t="s">
        <v>8</v>
      </c>
      <c r="CT5">
        <v>14</v>
      </c>
      <c r="DA5">
        <v>1.75</v>
      </c>
      <c r="DB5">
        <v>10.5</v>
      </c>
      <c r="DC5">
        <f t="shared" si="17"/>
        <v>-13</v>
      </c>
      <c r="DD5">
        <f t="shared" si="18"/>
        <v>0.98364684385675316</v>
      </c>
      <c r="DE5" cm="1">
        <f t="array" ref="DE5">_xlfn.IFS(DD5&gt;0.9,0,DD5&lt;0.01,0)</f>
        <v>0</v>
      </c>
      <c r="DG5" t="s">
        <v>8</v>
      </c>
      <c r="DH5">
        <v>14.75</v>
      </c>
      <c r="DN5">
        <v>1.75</v>
      </c>
      <c r="DO5">
        <v>5.5</v>
      </c>
      <c r="DP5">
        <f t="shared" si="19"/>
        <v>-11.5</v>
      </c>
      <c r="DQ5">
        <f t="shared" si="20"/>
        <v>1.002125284240954</v>
      </c>
      <c r="DR5" cm="1">
        <f t="array" ref="DR5">_xlfn.IFS(DQ5&gt;0.9,0,DQ5&lt;0.01,0)</f>
        <v>0</v>
      </c>
      <c r="DS5" t="s">
        <v>8</v>
      </c>
      <c r="DT5">
        <v>13.25</v>
      </c>
    </row>
    <row r="6" spans="1:124" x14ac:dyDescent="0.4">
      <c r="A6">
        <v>2</v>
      </c>
      <c r="B6">
        <v>4.25</v>
      </c>
      <c r="C6">
        <f t="shared" si="0"/>
        <v>-10.199999999999999</v>
      </c>
      <c r="D6">
        <f t="shared" si="1"/>
        <v>1.004110553118519</v>
      </c>
      <c r="E6" cm="1">
        <f t="array" ref="E6">_xlfn.IFS(D6&gt;0.9,0,D6&lt;0.01,0)</f>
        <v>0</v>
      </c>
      <c r="N6">
        <v>2</v>
      </c>
      <c r="O6">
        <f t="shared" si="2"/>
        <v>101.5</v>
      </c>
      <c r="P6">
        <f t="shared" si="3"/>
        <v>-20</v>
      </c>
      <c r="Q6">
        <f t="shared" si="4"/>
        <v>0.99503389644178974</v>
      </c>
      <c r="R6" cm="1">
        <f t="array" ref="R6">_xlfn.IFS(Q6&gt;0.9,0,Q6&lt;0.01,0)</f>
        <v>0</v>
      </c>
      <c r="AA6">
        <v>1</v>
      </c>
      <c r="AB6">
        <v>7.5</v>
      </c>
      <c r="AC6">
        <f t="shared" si="5"/>
        <v>-12</v>
      </c>
      <c r="AD6">
        <f t="shared" si="6"/>
        <v>0.97824835999539639</v>
      </c>
      <c r="AE6" cm="1">
        <f t="array" ref="AE6">_xlfn.IFS(AD6&gt;0.9,0,AD6&lt;0.01,0)</f>
        <v>0</v>
      </c>
      <c r="AN6">
        <v>2</v>
      </c>
      <c r="AO6">
        <v>101.25</v>
      </c>
      <c r="AP6">
        <f t="shared" si="7"/>
        <v>-7.5</v>
      </c>
      <c r="AQ6">
        <f t="shared" si="8"/>
        <v>0.99588177321638771</v>
      </c>
      <c r="AR6" cm="1">
        <f t="array" ref="AR6">_xlfn.IFS(AQ6&gt;0.9,0,AQ6&lt;0.01,0)</f>
        <v>0</v>
      </c>
      <c r="BA6">
        <v>2</v>
      </c>
      <c r="BB6">
        <v>98.75</v>
      </c>
      <c r="BC6">
        <f t="shared" si="9"/>
        <v>-15.75</v>
      </c>
      <c r="BD6">
        <f t="shared" si="10"/>
        <v>0.98807855533349787</v>
      </c>
      <c r="BE6" cm="1">
        <f t="array" ref="BE6">_xlfn.IFS(BD6&gt;0.9,0,BD6&lt;0.01,0)</f>
        <v>0</v>
      </c>
      <c r="BN6">
        <v>2</v>
      </c>
      <c r="BO6">
        <v>6.5</v>
      </c>
      <c r="BP6">
        <f t="shared" si="11"/>
        <v>-13</v>
      </c>
      <c r="BQ6">
        <f t="shared" si="12"/>
        <v>1.0011798780711232</v>
      </c>
      <c r="BR6" cm="1">
        <f t="array" ref="BR6">_xlfn.IFS(BQ6&gt;0.9,0,BQ6&lt;0.01,0)</f>
        <v>0</v>
      </c>
      <c r="CA6">
        <v>2</v>
      </c>
      <c r="CB6">
        <v>92</v>
      </c>
      <c r="CC6">
        <f t="shared" si="13"/>
        <v>-21.25</v>
      </c>
      <c r="CD6">
        <f t="shared" si="14"/>
        <v>0.99488043595167241</v>
      </c>
      <c r="CE6" cm="1">
        <f t="array" ref="CE6">_xlfn.IFS(CD6&gt;0.9,0,CD6&lt;0.01,0)</f>
        <v>0</v>
      </c>
      <c r="CN6">
        <v>2</v>
      </c>
      <c r="CO6">
        <v>7.25</v>
      </c>
      <c r="CP6">
        <f t="shared" si="15"/>
        <v>-12</v>
      </c>
      <c r="CQ6">
        <f t="shared" si="16"/>
        <v>0.9916009090279122</v>
      </c>
      <c r="CR6" cm="1">
        <f t="array" ref="CR6">_xlfn.IFS(CQ6&gt;0.9,0,CQ6&lt;0.01,0)</f>
        <v>0</v>
      </c>
      <c r="DA6">
        <v>2</v>
      </c>
      <c r="DB6">
        <v>10.5</v>
      </c>
      <c r="DC6">
        <f t="shared" si="17"/>
        <v>-12.75</v>
      </c>
      <c r="DD6">
        <f t="shared" si="18"/>
        <v>0.98364684385675316</v>
      </c>
      <c r="DE6" cm="1">
        <f t="array" ref="DE6">_xlfn.IFS(DD6&gt;0.9,0,DD6&lt;0.01,0)</f>
        <v>0</v>
      </c>
      <c r="DN6">
        <v>2</v>
      </c>
      <c r="DO6">
        <v>5.5</v>
      </c>
      <c r="DP6">
        <f t="shared" si="19"/>
        <v>-11.25</v>
      </c>
      <c r="DQ6">
        <f t="shared" si="20"/>
        <v>1.002125284240954</v>
      </c>
      <c r="DR6" cm="1">
        <f t="array" ref="DR6">_xlfn.IFS(DQ6&gt;0.9,0,DQ6&lt;0.01,0)</f>
        <v>0</v>
      </c>
    </row>
    <row r="7" spans="1:124" x14ac:dyDescent="0.4">
      <c r="A7">
        <v>2.25</v>
      </c>
      <c r="B7">
        <v>4.25</v>
      </c>
      <c r="C7">
        <f t="shared" si="0"/>
        <v>-9.9499999999999993</v>
      </c>
      <c r="D7">
        <f t="shared" si="1"/>
        <v>1.004110553118519</v>
      </c>
      <c r="E7" cm="1">
        <f t="array" ref="E7">_xlfn.IFS(D7&gt;0.9,0,D7&lt;0.01,0)</f>
        <v>0</v>
      </c>
      <c r="N7">
        <v>2.25</v>
      </c>
      <c r="O7">
        <v>101.5</v>
      </c>
      <c r="P7">
        <f t="shared" si="3"/>
        <v>-19.75</v>
      </c>
      <c r="Q7">
        <f t="shared" si="4"/>
        <v>0.99503389644178974</v>
      </c>
      <c r="R7" cm="1">
        <f t="array" ref="R7">_xlfn.IFS(Q7&gt;0.9,0,Q7&lt;0.01,0)</f>
        <v>0</v>
      </c>
      <c r="AA7">
        <v>1.25</v>
      </c>
      <c r="AB7">
        <v>7.5</v>
      </c>
      <c r="AC7">
        <f t="shared" si="5"/>
        <v>-11.75</v>
      </c>
      <c r="AD7">
        <f t="shared" si="6"/>
        <v>0.97824835999539639</v>
      </c>
      <c r="AE7" cm="1">
        <f t="array" ref="AE7">_xlfn.IFS(AD7&gt;0.9,0,AD7&lt;0.01,0)</f>
        <v>0</v>
      </c>
      <c r="AN7">
        <v>2.25</v>
      </c>
      <c r="AO7">
        <v>101.25</v>
      </c>
      <c r="AP7">
        <f t="shared" si="7"/>
        <v>-7.25</v>
      </c>
      <c r="AQ7">
        <f t="shared" si="8"/>
        <v>0.99588177321638771</v>
      </c>
      <c r="AR7" cm="1">
        <f t="array" ref="AR7">_xlfn.IFS(AQ7&gt;0.9,0,AQ7&lt;0.01,0)</f>
        <v>0</v>
      </c>
      <c r="BA7">
        <v>2.25</v>
      </c>
      <c r="BB7">
        <v>99</v>
      </c>
      <c r="BC7">
        <f t="shared" si="9"/>
        <v>-15.5</v>
      </c>
      <c r="BD7">
        <f t="shared" si="10"/>
        <v>0.99076879284673502</v>
      </c>
      <c r="BE7" cm="1">
        <f t="array" ref="BE7">_xlfn.IFS(BD7&gt;0.9,0,BD7&lt;0.01,0)</f>
        <v>0</v>
      </c>
      <c r="BN7">
        <v>2.25</v>
      </c>
      <c r="BO7">
        <v>6.5</v>
      </c>
      <c r="BP7">
        <f t="shared" si="11"/>
        <v>-12.75</v>
      </c>
      <c r="BQ7">
        <f t="shared" si="12"/>
        <v>1.0011798780711232</v>
      </c>
      <c r="BR7" cm="1">
        <f t="array" ref="BR7">_xlfn.IFS(BQ7&gt;0.9,0,BQ7&lt;0.01,0)</f>
        <v>0</v>
      </c>
      <c r="CA7">
        <v>2.25</v>
      </c>
      <c r="CB7">
        <v>91.75</v>
      </c>
      <c r="CC7">
        <f t="shared" si="13"/>
        <v>-21</v>
      </c>
      <c r="CD7">
        <f t="shared" si="14"/>
        <v>0.99190238889088056</v>
      </c>
      <c r="CE7" cm="1">
        <f t="array" ref="CE7">_xlfn.IFS(CD7&gt;0.9,0,CD7&lt;0.01,0)</f>
        <v>0</v>
      </c>
      <c r="CN7">
        <v>2.25</v>
      </c>
      <c r="CO7">
        <v>7.25</v>
      </c>
      <c r="CP7">
        <f t="shared" si="15"/>
        <v>-11.75</v>
      </c>
      <c r="CQ7">
        <f t="shared" si="16"/>
        <v>0.9916009090279122</v>
      </c>
      <c r="CR7" cm="1">
        <f t="array" ref="CR7">_xlfn.IFS(CQ7&gt;0.9,0,CQ7&lt;0.01,0)</f>
        <v>0</v>
      </c>
      <c r="DA7">
        <v>2.25</v>
      </c>
      <c r="DB7">
        <v>10.5</v>
      </c>
      <c r="DC7">
        <f t="shared" si="17"/>
        <v>-12.5</v>
      </c>
      <c r="DD7">
        <f t="shared" si="18"/>
        <v>0.98364684385675316</v>
      </c>
      <c r="DE7" cm="1">
        <f t="array" ref="DE7">_xlfn.IFS(DD7&gt;0.9,0,DD7&lt;0.01,0)</f>
        <v>0</v>
      </c>
      <c r="DN7">
        <v>2.25</v>
      </c>
      <c r="DO7">
        <v>5.5</v>
      </c>
      <c r="DP7">
        <f t="shared" si="19"/>
        <v>-11</v>
      </c>
      <c r="DQ7">
        <f t="shared" si="20"/>
        <v>1.002125284240954</v>
      </c>
      <c r="DR7" cm="1">
        <f t="array" ref="DR7">_xlfn.IFS(DQ7&gt;0.9,0,DQ7&lt;0.01,0)</f>
        <v>0</v>
      </c>
    </row>
    <row r="8" spans="1:124" x14ac:dyDescent="0.4">
      <c r="A8">
        <v>2.5</v>
      </c>
      <c r="B8">
        <v>4.25</v>
      </c>
      <c r="C8">
        <f t="shared" si="0"/>
        <v>-9.6999999999999993</v>
      </c>
      <c r="D8">
        <f t="shared" si="1"/>
        <v>1.004110553118519</v>
      </c>
      <c r="E8" cm="1">
        <f t="array" ref="E8">_xlfn.IFS(D8&gt;0.9,0,D8&lt;0.01,0)</f>
        <v>0</v>
      </c>
      <c r="N8">
        <v>2.5</v>
      </c>
      <c r="O8">
        <v>102</v>
      </c>
      <c r="P8">
        <f t="shared" si="3"/>
        <v>-19.5</v>
      </c>
      <c r="Q8">
        <f t="shared" si="4"/>
        <v>1.0003224742570267</v>
      </c>
      <c r="R8" cm="1">
        <f t="array" ref="R8">_xlfn.IFS(Q8&gt;0.9,0,Q8&lt;0.01,0)</f>
        <v>0</v>
      </c>
      <c r="AA8">
        <v>1.5</v>
      </c>
      <c r="AB8">
        <v>7.5</v>
      </c>
      <c r="AC8">
        <f t="shared" si="5"/>
        <v>-11.5</v>
      </c>
      <c r="AD8">
        <f t="shared" si="6"/>
        <v>0.97824835999539639</v>
      </c>
      <c r="AE8" cm="1">
        <f t="array" ref="AE8">_xlfn.IFS(AD8&gt;0.9,0,AD8&lt;0.01,0)</f>
        <v>0</v>
      </c>
      <c r="AN8">
        <v>2.5</v>
      </c>
      <c r="AO8">
        <v>101.25</v>
      </c>
      <c r="AP8">
        <f t="shared" si="7"/>
        <v>-7</v>
      </c>
      <c r="AQ8">
        <f t="shared" si="8"/>
        <v>0.99588177321638771</v>
      </c>
      <c r="AR8" cm="1">
        <f t="array" ref="AR8">_xlfn.IFS(AQ8&gt;0.9,0,AQ8&lt;0.01,0)</f>
        <v>0</v>
      </c>
      <c r="BA8">
        <v>2.5</v>
      </c>
      <c r="BB8">
        <v>99</v>
      </c>
      <c r="BC8">
        <f t="shared" si="9"/>
        <v>-15.25</v>
      </c>
      <c r="BD8">
        <f t="shared" si="10"/>
        <v>0.99076879284673502</v>
      </c>
      <c r="BE8" cm="1">
        <f t="array" ref="BE8">_xlfn.IFS(BD8&gt;0.9,0,BD8&lt;0.01,0)</f>
        <v>0</v>
      </c>
      <c r="BN8">
        <v>2.5</v>
      </c>
      <c r="BO8">
        <v>6.5</v>
      </c>
      <c r="BP8">
        <f t="shared" si="11"/>
        <v>-12.5</v>
      </c>
      <c r="BQ8">
        <f t="shared" si="12"/>
        <v>1.0011798780711232</v>
      </c>
      <c r="BR8" cm="1">
        <f t="array" ref="BR8">_xlfn.IFS(BQ8&gt;0.9,0,BQ8&lt;0.01,0)</f>
        <v>0</v>
      </c>
      <c r="CA8">
        <v>2.5</v>
      </c>
      <c r="CB8">
        <v>91.75</v>
      </c>
      <c r="CC8">
        <f t="shared" si="13"/>
        <v>-20.75</v>
      </c>
      <c r="CD8">
        <f t="shared" si="14"/>
        <v>0.99190238889088056</v>
      </c>
      <c r="CE8" cm="1">
        <f t="array" ref="CE8">_xlfn.IFS(CD8&gt;0.9,0,CD8&lt;0.01,0)</f>
        <v>0</v>
      </c>
      <c r="CN8">
        <v>2.5</v>
      </c>
      <c r="CO8">
        <v>7.25</v>
      </c>
      <c r="CP8">
        <f t="shared" si="15"/>
        <v>-11.5</v>
      </c>
      <c r="CQ8">
        <f t="shared" si="16"/>
        <v>0.9916009090279122</v>
      </c>
      <c r="CR8" cm="1">
        <f t="array" ref="CR8">_xlfn.IFS(CQ8&gt;0.9,0,CQ8&lt;0.01,0)</f>
        <v>0</v>
      </c>
      <c r="DA8">
        <v>2.5</v>
      </c>
      <c r="DB8">
        <v>10.25</v>
      </c>
      <c r="DC8">
        <f t="shared" si="17"/>
        <v>-12.25</v>
      </c>
      <c r="DD8">
        <f t="shared" si="18"/>
        <v>0.98645917007247075</v>
      </c>
      <c r="DE8" cm="1">
        <f t="array" ref="DE8">_xlfn.IFS(DD8&gt;0.9,0,DD8&lt;0.01,0)</f>
        <v>0</v>
      </c>
      <c r="DN8">
        <v>2.5</v>
      </c>
      <c r="DO8">
        <v>5.75</v>
      </c>
      <c r="DP8">
        <f t="shared" si="19"/>
        <v>-10.75</v>
      </c>
      <c r="DQ8">
        <f t="shared" si="20"/>
        <v>0.99946867893976155</v>
      </c>
      <c r="DR8" cm="1">
        <f t="array" ref="DR8">_xlfn.IFS(DQ8&gt;0.9,0,DQ8&lt;0.01,0)</f>
        <v>0</v>
      </c>
    </row>
    <row r="9" spans="1:124" x14ac:dyDescent="0.4">
      <c r="A9">
        <v>2.75</v>
      </c>
      <c r="B9">
        <v>4.5</v>
      </c>
      <c r="C9">
        <f t="shared" si="0"/>
        <v>-9.4499999999999993</v>
      </c>
      <c r="D9">
        <f t="shared" si="1"/>
        <v>1.0014843664039097</v>
      </c>
      <c r="E9" cm="1">
        <f t="array" ref="E9">_xlfn.IFS(D9&gt;0.9,0,D9&lt;0.01,0)</f>
        <v>0</v>
      </c>
      <c r="N9">
        <v>2.75</v>
      </c>
      <c r="O9">
        <v>102.5</v>
      </c>
      <c r="P9">
        <f t="shared" si="3"/>
        <v>-19.25</v>
      </c>
      <c r="Q9">
        <f t="shared" si="4"/>
        <v>1.0056110520722636</v>
      </c>
      <c r="R9" cm="1">
        <f t="array" ref="R9">_xlfn.IFS(Q9&gt;0.9,0,Q9&lt;0.01,0)</f>
        <v>0</v>
      </c>
      <c r="AA9">
        <v>1.75</v>
      </c>
      <c r="AB9">
        <v>7.5</v>
      </c>
      <c r="AC9">
        <f t="shared" si="5"/>
        <v>-11.25</v>
      </c>
      <c r="AD9">
        <f t="shared" si="6"/>
        <v>0.97824835999539639</v>
      </c>
      <c r="AE9" cm="1">
        <f t="array" ref="AE9">_xlfn.IFS(AD9&gt;0.9,0,AD9&lt;0.01,0)</f>
        <v>0</v>
      </c>
      <c r="AN9">
        <v>2.75</v>
      </c>
      <c r="AO9">
        <v>101.5</v>
      </c>
      <c r="AP9">
        <f t="shared" si="7"/>
        <v>-6.75</v>
      </c>
      <c r="AQ9">
        <f t="shared" si="8"/>
        <v>0.99923381827281643</v>
      </c>
      <c r="AR9" cm="1">
        <f t="array" ref="AR9">_xlfn.IFS(AQ9&gt;0.9,0,AQ9&lt;0.01,0)</f>
        <v>0</v>
      </c>
      <c r="BA9">
        <v>2.75</v>
      </c>
      <c r="BB9">
        <v>99</v>
      </c>
      <c r="BC9">
        <f t="shared" si="9"/>
        <v>-15</v>
      </c>
      <c r="BD9">
        <f t="shared" si="10"/>
        <v>0.99076879284673502</v>
      </c>
      <c r="BE9" cm="1">
        <f t="array" ref="BE9">_xlfn.IFS(BD9&gt;0.9,0,BD9&lt;0.01,0)</f>
        <v>0</v>
      </c>
      <c r="BN9">
        <v>2.75</v>
      </c>
      <c r="BO9">
        <v>6.5</v>
      </c>
      <c r="BP9">
        <f t="shared" si="11"/>
        <v>-12.25</v>
      </c>
      <c r="BQ9">
        <f t="shared" si="12"/>
        <v>1.0011798780711232</v>
      </c>
      <c r="BR9" cm="1">
        <f t="array" ref="BR9">_xlfn.IFS(BQ9&gt;0.9,0,BQ9&lt;0.01,0)</f>
        <v>0</v>
      </c>
      <c r="CA9">
        <v>2.75</v>
      </c>
      <c r="CB9">
        <v>91.75</v>
      </c>
      <c r="CC9">
        <f t="shared" si="13"/>
        <v>-20.5</v>
      </c>
      <c r="CD9">
        <f t="shared" si="14"/>
        <v>0.99190238889088056</v>
      </c>
      <c r="CE9" cm="1">
        <f t="array" ref="CE9">_xlfn.IFS(CD9&gt;0.9,0,CD9&lt;0.01,0)</f>
        <v>0</v>
      </c>
      <c r="CN9">
        <v>2.75</v>
      </c>
      <c r="CO9">
        <v>7</v>
      </c>
      <c r="CP9">
        <f t="shared" si="15"/>
        <v>-11.25</v>
      </c>
      <c r="CQ9">
        <f t="shared" si="16"/>
        <v>0.99438342996345053</v>
      </c>
      <c r="CR9" cm="1">
        <f t="array" ref="CR9">_xlfn.IFS(CQ9&gt;0.9,0,CQ9&lt;0.01,0)</f>
        <v>0</v>
      </c>
      <c r="DA9">
        <v>2.75</v>
      </c>
      <c r="DB9">
        <v>10.25</v>
      </c>
      <c r="DC9">
        <f t="shared" si="17"/>
        <v>-12</v>
      </c>
      <c r="DD9">
        <f t="shared" si="18"/>
        <v>0.98645917007247075</v>
      </c>
      <c r="DE9" cm="1">
        <f t="array" ref="DE9">_xlfn.IFS(DD9&gt;0.9,0,DD9&lt;0.01,0)</f>
        <v>0</v>
      </c>
      <c r="DN9">
        <v>2.75</v>
      </c>
      <c r="DO9">
        <v>5.5</v>
      </c>
      <c r="DP9">
        <f t="shared" si="19"/>
        <v>-10.5</v>
      </c>
      <c r="DQ9">
        <f t="shared" si="20"/>
        <v>1.002125284240954</v>
      </c>
      <c r="DR9" cm="1">
        <f t="array" ref="DR9">_xlfn.IFS(DQ9&gt;0.9,0,DQ9&lt;0.01,0)</f>
        <v>0</v>
      </c>
    </row>
    <row r="10" spans="1:124" x14ac:dyDescent="0.4">
      <c r="A10">
        <v>3</v>
      </c>
      <c r="B10">
        <v>4.5</v>
      </c>
      <c r="C10">
        <f t="shared" si="0"/>
        <v>-9.1999999999999993</v>
      </c>
      <c r="D10">
        <f t="shared" si="1"/>
        <v>1.0014843664039097</v>
      </c>
      <c r="E10" cm="1">
        <f t="array" ref="E10">_xlfn.IFS(D10&gt;0.9,0,D10&lt;0.01,0)</f>
        <v>0</v>
      </c>
      <c r="N10">
        <v>3</v>
      </c>
      <c r="O10">
        <v>102.5</v>
      </c>
      <c r="P10">
        <f t="shared" si="3"/>
        <v>-19</v>
      </c>
      <c r="Q10">
        <f t="shared" si="4"/>
        <v>1.0056110520722636</v>
      </c>
      <c r="R10" cm="1">
        <f t="array" ref="R10">_xlfn.IFS(Q10&gt;0.9,0,Q10&lt;0.01,0)</f>
        <v>0</v>
      </c>
      <c r="AA10">
        <v>2</v>
      </c>
      <c r="AB10">
        <v>7.25</v>
      </c>
      <c r="AC10">
        <f t="shared" si="5"/>
        <v>-11</v>
      </c>
      <c r="AD10">
        <f t="shared" si="6"/>
        <v>0.99145471285533426</v>
      </c>
      <c r="AE10" cm="1">
        <f t="array" ref="AE10">_xlfn.IFS(AD10&gt;0.9,0,AD10&lt;0.01,0)</f>
        <v>0</v>
      </c>
      <c r="AN10">
        <v>3</v>
      </c>
      <c r="AO10">
        <v>101.5</v>
      </c>
      <c r="AP10">
        <f t="shared" si="7"/>
        <v>-6.5</v>
      </c>
      <c r="AQ10">
        <f t="shared" si="8"/>
        <v>0.99923381827281643</v>
      </c>
      <c r="AR10" cm="1">
        <f t="array" ref="AR10">_xlfn.IFS(AQ10&gt;0.9,0,AQ10&lt;0.01,0)</f>
        <v>0</v>
      </c>
      <c r="BA10">
        <v>3</v>
      </c>
      <c r="BB10">
        <v>99.25</v>
      </c>
      <c r="BC10">
        <f t="shared" si="9"/>
        <v>-14.75</v>
      </c>
      <c r="BD10">
        <f t="shared" si="10"/>
        <v>0.99345903035997229</v>
      </c>
      <c r="BE10" cm="1">
        <f t="array" ref="BE10">_xlfn.IFS(BD10&gt;0.9,0,BD10&lt;0.01,0)</f>
        <v>0</v>
      </c>
      <c r="BN10">
        <v>3</v>
      </c>
      <c r="BO10">
        <v>6.5</v>
      </c>
      <c r="BP10">
        <f t="shared" si="11"/>
        <v>-12</v>
      </c>
      <c r="BQ10">
        <f t="shared" si="12"/>
        <v>1.0011798780711232</v>
      </c>
      <c r="BR10" cm="1">
        <f t="array" ref="BR10">_xlfn.IFS(BQ10&gt;0.9,0,BQ10&lt;0.01,0)</f>
        <v>0</v>
      </c>
      <c r="CA10">
        <v>3</v>
      </c>
      <c r="CB10">
        <v>91.5</v>
      </c>
      <c r="CC10">
        <f t="shared" si="13"/>
        <v>-20.25</v>
      </c>
      <c r="CD10">
        <f t="shared" si="14"/>
        <v>0.9889243418300887</v>
      </c>
      <c r="CE10" cm="1">
        <f t="array" ref="CE10">_xlfn.IFS(CD10&gt;0.9,0,CD10&lt;0.01,0)</f>
        <v>0</v>
      </c>
      <c r="CN10">
        <v>3</v>
      </c>
      <c r="CO10">
        <v>7</v>
      </c>
      <c r="CP10">
        <f t="shared" si="15"/>
        <v>-11</v>
      </c>
      <c r="CQ10">
        <f t="shared" si="16"/>
        <v>0.99438342996345053</v>
      </c>
      <c r="CR10" cm="1">
        <f t="array" ref="CR10">_xlfn.IFS(CQ10&gt;0.9,0,CQ10&lt;0.01,0)</f>
        <v>0</v>
      </c>
      <c r="DA10">
        <v>3</v>
      </c>
      <c r="DB10">
        <v>10.25</v>
      </c>
      <c r="DC10">
        <f t="shared" si="17"/>
        <v>-11.75</v>
      </c>
      <c r="DD10">
        <f t="shared" si="18"/>
        <v>0.98645917007247075</v>
      </c>
      <c r="DE10" cm="1">
        <f t="array" ref="DE10">_xlfn.IFS(DD10&gt;0.9,0,DD10&lt;0.01,0)</f>
        <v>0</v>
      </c>
      <c r="DN10">
        <v>3</v>
      </c>
      <c r="DO10">
        <v>5.5</v>
      </c>
      <c r="DP10">
        <f t="shared" si="19"/>
        <v>-10.25</v>
      </c>
      <c r="DQ10">
        <f t="shared" si="20"/>
        <v>1.002125284240954</v>
      </c>
      <c r="DR10" cm="1">
        <f t="array" ref="DR10">_xlfn.IFS(DQ10&gt;0.9,0,DQ10&lt;0.01,0)</f>
        <v>0</v>
      </c>
    </row>
    <row r="11" spans="1:124" x14ac:dyDescent="0.4">
      <c r="A11">
        <v>3.25</v>
      </c>
      <c r="B11">
        <v>4.5</v>
      </c>
      <c r="C11">
        <f t="shared" si="0"/>
        <v>-8.9499999999999993</v>
      </c>
      <c r="D11">
        <f t="shared" si="1"/>
        <v>1.0014843664039097</v>
      </c>
      <c r="E11" cm="1">
        <f t="array" ref="E11">_xlfn.IFS(D11&gt;0.9,0,D11&lt;0.01,0)</f>
        <v>0</v>
      </c>
      <c r="N11">
        <v>3.25</v>
      </c>
      <c r="O11">
        <v>101.5</v>
      </c>
      <c r="P11">
        <f t="shared" si="3"/>
        <v>-18.75</v>
      </c>
      <c r="Q11">
        <f t="shared" si="4"/>
        <v>0.99503389644178974</v>
      </c>
      <c r="R11" cm="1">
        <f t="array" ref="R11">_xlfn.IFS(Q11&gt;0.9,0,Q11&lt;0.01,0)</f>
        <v>0</v>
      </c>
      <c r="AA11">
        <v>2.25</v>
      </c>
      <c r="AB11">
        <v>7.5</v>
      </c>
      <c r="AC11">
        <f t="shared" si="5"/>
        <v>-10.75</v>
      </c>
      <c r="AD11">
        <f t="shared" si="6"/>
        <v>0.97824835999539639</v>
      </c>
      <c r="AE11" cm="1">
        <f t="array" ref="AE11">_xlfn.IFS(AD11&gt;0.9,0,AD11&lt;0.01,0)</f>
        <v>0</v>
      </c>
      <c r="AN11">
        <v>3.25</v>
      </c>
      <c r="AO11">
        <v>101.5</v>
      </c>
      <c r="AP11">
        <f t="shared" si="7"/>
        <v>-6.25</v>
      </c>
      <c r="AQ11">
        <f t="shared" si="8"/>
        <v>0.99923381827281643</v>
      </c>
      <c r="AR11" cm="1">
        <f t="array" ref="AR11">_xlfn.IFS(AQ11&gt;0.9,0,AQ11&lt;0.01,0)</f>
        <v>0</v>
      </c>
      <c r="BA11">
        <v>3.25</v>
      </c>
      <c r="BB11">
        <v>99.25</v>
      </c>
      <c r="BC11">
        <f t="shared" si="9"/>
        <v>-14.5</v>
      </c>
      <c r="BD11">
        <f t="shared" si="10"/>
        <v>0.99345903035997229</v>
      </c>
      <c r="BE11" cm="1">
        <f t="array" ref="BE11">_xlfn.IFS(BD11&gt;0.9,0,BD11&lt;0.01,0)</f>
        <v>0</v>
      </c>
      <c r="BN11">
        <v>3.25</v>
      </c>
      <c r="BO11">
        <v>6.5</v>
      </c>
      <c r="BP11">
        <f t="shared" si="11"/>
        <v>-11.75</v>
      </c>
      <c r="BQ11">
        <f t="shared" si="12"/>
        <v>1.0011798780711232</v>
      </c>
      <c r="BR11" cm="1">
        <f t="array" ref="BR11">_xlfn.IFS(BQ11&gt;0.9,0,BQ11&lt;0.01,0)</f>
        <v>0</v>
      </c>
      <c r="CA11">
        <v>3.25</v>
      </c>
      <c r="CB11">
        <v>91.5</v>
      </c>
      <c r="CC11">
        <f t="shared" si="13"/>
        <v>-20</v>
      </c>
      <c r="CD11">
        <f t="shared" si="14"/>
        <v>0.9889243418300887</v>
      </c>
      <c r="CE11" cm="1">
        <f t="array" ref="CE11">_xlfn.IFS(CD11&gt;0.9,0,CD11&lt;0.01,0)</f>
        <v>0</v>
      </c>
      <c r="CN11">
        <v>3.25</v>
      </c>
      <c r="CO11">
        <v>7</v>
      </c>
      <c r="CP11">
        <f t="shared" si="15"/>
        <v>-10.75</v>
      </c>
      <c r="CQ11">
        <f t="shared" si="16"/>
        <v>0.99438342996345053</v>
      </c>
      <c r="CR11" cm="1">
        <f t="array" ref="CR11">_xlfn.IFS(CQ11&gt;0.9,0,CQ11&lt;0.01,0)</f>
        <v>0</v>
      </c>
      <c r="DA11">
        <v>3.25</v>
      </c>
      <c r="DB11">
        <v>10</v>
      </c>
      <c r="DC11">
        <f t="shared" si="17"/>
        <v>-11.5</v>
      </c>
      <c r="DD11">
        <f t="shared" si="18"/>
        <v>0.98927149628818833</v>
      </c>
      <c r="DE11" cm="1">
        <f t="array" ref="DE11">_xlfn.IFS(DD11&gt;0.9,0,DD11&lt;0.01,0)</f>
        <v>0</v>
      </c>
      <c r="DN11">
        <v>3.25</v>
      </c>
      <c r="DO11">
        <v>5.5</v>
      </c>
      <c r="DP11">
        <f t="shared" si="19"/>
        <v>-10</v>
      </c>
      <c r="DQ11">
        <f t="shared" si="20"/>
        <v>1.002125284240954</v>
      </c>
      <c r="DR11" cm="1">
        <f t="array" ref="DR11">_xlfn.IFS(DQ11&gt;0.9,0,DQ11&lt;0.01,0)</f>
        <v>0</v>
      </c>
    </row>
    <row r="12" spans="1:124" x14ac:dyDescent="0.4">
      <c r="A12">
        <v>3.5</v>
      </c>
      <c r="B12">
        <v>4.5</v>
      </c>
      <c r="C12">
        <f t="shared" si="0"/>
        <v>-8.6999999999999993</v>
      </c>
      <c r="D12">
        <f t="shared" si="1"/>
        <v>1.0014843664039097</v>
      </c>
      <c r="E12" cm="1">
        <f t="array" ref="E12">_xlfn.IFS(D12&gt;0.9,0,D12&lt;0.01,0)</f>
        <v>0</v>
      </c>
      <c r="N12">
        <v>3.5</v>
      </c>
      <c r="O12">
        <v>102</v>
      </c>
      <c r="P12">
        <f t="shared" si="3"/>
        <v>-18.5</v>
      </c>
      <c r="Q12">
        <f t="shared" si="4"/>
        <v>1.0003224742570267</v>
      </c>
      <c r="R12" cm="1">
        <f t="array" ref="R12">_xlfn.IFS(Q12&gt;0.9,0,Q12&lt;0.01,0)</f>
        <v>0</v>
      </c>
      <c r="AA12">
        <v>2.5</v>
      </c>
      <c r="AB12">
        <v>7.25</v>
      </c>
      <c r="AC12">
        <f t="shared" si="5"/>
        <v>-10.5</v>
      </c>
      <c r="AD12">
        <f t="shared" si="6"/>
        <v>0.99145471285533426</v>
      </c>
      <c r="AE12" cm="1">
        <f t="array" ref="AE12">_xlfn.IFS(AD12&gt;0.9,0,AD12&lt;0.01,0)</f>
        <v>0</v>
      </c>
      <c r="AN12">
        <v>3.5</v>
      </c>
      <c r="AO12">
        <v>101.5</v>
      </c>
      <c r="AP12">
        <f t="shared" si="7"/>
        <v>-6</v>
      </c>
      <c r="AQ12">
        <f t="shared" si="8"/>
        <v>0.99923381827281643</v>
      </c>
      <c r="AR12" cm="1">
        <f t="array" ref="AR12">_xlfn.IFS(AQ12&gt;0.9,0,AQ12&lt;0.01,0)</f>
        <v>0</v>
      </c>
      <c r="BA12">
        <v>3.5</v>
      </c>
      <c r="BB12">
        <v>99.5</v>
      </c>
      <c r="BC12">
        <f t="shared" si="9"/>
        <v>-14.25</v>
      </c>
      <c r="BD12">
        <f t="shared" si="10"/>
        <v>0.99614926787320945</v>
      </c>
      <c r="BE12" cm="1">
        <f t="array" ref="BE12">_xlfn.IFS(BD12&gt;0.9,0,BD12&lt;0.01,0)</f>
        <v>0</v>
      </c>
      <c r="BN12">
        <v>3.5</v>
      </c>
      <c r="BO12">
        <v>6.5</v>
      </c>
      <c r="BP12">
        <f t="shared" si="11"/>
        <v>-11.5</v>
      </c>
      <c r="BQ12">
        <f t="shared" si="12"/>
        <v>1.0011798780711232</v>
      </c>
      <c r="BR12" cm="1">
        <f t="array" ref="BR12">_xlfn.IFS(BQ12&gt;0.9,0,BQ12&lt;0.01,0)</f>
        <v>0</v>
      </c>
      <c r="CA12">
        <v>3.5</v>
      </c>
      <c r="CB12">
        <v>91.25</v>
      </c>
      <c r="CC12">
        <f t="shared" si="13"/>
        <v>-19.75</v>
      </c>
      <c r="CD12">
        <f t="shared" si="14"/>
        <v>0.98594629476929696</v>
      </c>
      <c r="CE12" cm="1">
        <f t="array" ref="CE12">_xlfn.IFS(CD12&gt;0.9,0,CD12&lt;0.01,0)</f>
        <v>0</v>
      </c>
      <c r="CN12">
        <v>3.5</v>
      </c>
      <c r="CO12">
        <v>7</v>
      </c>
      <c r="CP12">
        <f t="shared" si="15"/>
        <v>-10.5</v>
      </c>
      <c r="CQ12">
        <f t="shared" si="16"/>
        <v>0.99438342996345053</v>
      </c>
      <c r="CR12" cm="1">
        <f t="array" ref="CR12">_xlfn.IFS(CQ12&gt;0.9,0,CQ12&lt;0.01,0)</f>
        <v>0</v>
      </c>
      <c r="DA12">
        <v>3.5</v>
      </c>
      <c r="DB12">
        <v>10</v>
      </c>
      <c r="DC12">
        <f t="shared" si="17"/>
        <v>-11.25</v>
      </c>
      <c r="DD12">
        <f t="shared" si="18"/>
        <v>0.98927149628818833</v>
      </c>
      <c r="DE12" cm="1">
        <f t="array" ref="DE12">_xlfn.IFS(DD12&gt;0.9,0,DD12&lt;0.01,0)</f>
        <v>0</v>
      </c>
      <c r="DN12">
        <v>3.5</v>
      </c>
      <c r="DO12">
        <v>5.5</v>
      </c>
      <c r="DP12">
        <f t="shared" si="19"/>
        <v>-9.75</v>
      </c>
      <c r="DQ12">
        <f t="shared" si="20"/>
        <v>1.002125284240954</v>
      </c>
      <c r="DR12" cm="1">
        <f t="array" ref="DR12">_xlfn.IFS(DQ12&gt;0.9,0,DQ12&lt;0.01,0)</f>
        <v>0</v>
      </c>
    </row>
    <row r="13" spans="1:124" x14ac:dyDescent="0.4">
      <c r="A13">
        <v>3.75</v>
      </c>
      <c r="B13">
        <v>4.5</v>
      </c>
      <c r="C13">
        <f t="shared" si="0"/>
        <v>-8.4499999999999993</v>
      </c>
      <c r="D13">
        <f t="shared" si="1"/>
        <v>1.0014843664039097</v>
      </c>
      <c r="E13" cm="1">
        <f t="array" ref="E13">_xlfn.IFS(D13&gt;0.9,0,D13&lt;0.01,0)</f>
        <v>0</v>
      </c>
      <c r="N13">
        <v>3.75</v>
      </c>
      <c r="O13">
        <v>101.5</v>
      </c>
      <c r="P13">
        <f t="shared" si="3"/>
        <v>-18.25</v>
      </c>
      <c r="Q13">
        <f t="shared" si="4"/>
        <v>0.99503389644178974</v>
      </c>
      <c r="R13" cm="1">
        <f t="array" ref="R13">_xlfn.IFS(Q13&gt;0.9,0,Q13&lt;0.01,0)</f>
        <v>0</v>
      </c>
      <c r="AA13">
        <v>2.75</v>
      </c>
      <c r="AB13">
        <v>7.25</v>
      </c>
      <c r="AC13">
        <f t="shared" si="5"/>
        <v>-10.25</v>
      </c>
      <c r="AD13">
        <f t="shared" si="6"/>
        <v>0.99145471285533426</v>
      </c>
      <c r="AE13" cm="1">
        <f t="array" ref="AE13">_xlfn.IFS(AD13&gt;0.9,0,AD13&lt;0.01,0)</f>
        <v>0</v>
      </c>
      <c r="AN13">
        <v>3.75</v>
      </c>
      <c r="AO13">
        <v>101.5</v>
      </c>
      <c r="AP13">
        <f t="shared" si="7"/>
        <v>-5.75</v>
      </c>
      <c r="AQ13">
        <f t="shared" si="8"/>
        <v>0.99923381827281643</v>
      </c>
      <c r="AR13" cm="1">
        <f t="array" ref="AR13">_xlfn.IFS(AQ13&gt;0.9,0,AQ13&lt;0.01,0)</f>
        <v>0</v>
      </c>
      <c r="BA13">
        <v>3.75</v>
      </c>
      <c r="BB13">
        <v>99.5</v>
      </c>
      <c r="BC13">
        <f t="shared" si="9"/>
        <v>-14</v>
      </c>
      <c r="BD13">
        <f t="shared" si="10"/>
        <v>0.99614926787320945</v>
      </c>
      <c r="BE13" cm="1">
        <f t="array" ref="BE13">_xlfn.IFS(BD13&gt;0.9,0,BD13&lt;0.01,0)</f>
        <v>0</v>
      </c>
      <c r="BN13">
        <v>3.75</v>
      </c>
      <c r="BO13">
        <v>6.5</v>
      </c>
      <c r="BP13">
        <f t="shared" si="11"/>
        <v>-11.25</v>
      </c>
      <c r="BQ13">
        <f t="shared" si="12"/>
        <v>1.0011798780711232</v>
      </c>
      <c r="BR13" cm="1">
        <f t="array" ref="BR13">_xlfn.IFS(BQ13&gt;0.9,0,BQ13&lt;0.01,0)</f>
        <v>0</v>
      </c>
      <c r="CA13">
        <v>3.75</v>
      </c>
      <c r="CB13">
        <v>91.25</v>
      </c>
      <c r="CC13">
        <f t="shared" si="13"/>
        <v>-19.5</v>
      </c>
      <c r="CD13">
        <f t="shared" si="14"/>
        <v>0.98594629476929696</v>
      </c>
      <c r="CE13" cm="1">
        <f t="array" ref="CE13">_xlfn.IFS(CD13&gt;0.9,0,CD13&lt;0.01,0)</f>
        <v>0</v>
      </c>
      <c r="CN13">
        <v>3.75</v>
      </c>
      <c r="CO13">
        <v>6.75</v>
      </c>
      <c r="CP13">
        <f t="shared" si="15"/>
        <v>-10.25</v>
      </c>
      <c r="CQ13">
        <f t="shared" si="16"/>
        <v>0.99716595089898874</v>
      </c>
      <c r="CR13" cm="1">
        <f t="array" ref="CR13">_xlfn.IFS(CQ13&gt;0.9,0,CQ13&lt;0.01,0)</f>
        <v>0</v>
      </c>
      <c r="DA13">
        <v>3.75</v>
      </c>
      <c r="DB13">
        <v>10</v>
      </c>
      <c r="DC13">
        <f t="shared" si="17"/>
        <v>-11</v>
      </c>
      <c r="DD13">
        <f t="shared" si="18"/>
        <v>0.98927149628818833</v>
      </c>
      <c r="DE13" cm="1">
        <f t="array" ref="DE13">_xlfn.IFS(DD13&gt;0.9,0,DD13&lt;0.01,0)</f>
        <v>0</v>
      </c>
      <c r="DN13">
        <v>3.75</v>
      </c>
      <c r="DO13">
        <v>5.5</v>
      </c>
      <c r="DP13">
        <f t="shared" si="19"/>
        <v>-9.5</v>
      </c>
      <c r="DQ13">
        <f t="shared" si="20"/>
        <v>1.002125284240954</v>
      </c>
      <c r="DR13" cm="1">
        <f t="array" ref="DR13">_xlfn.IFS(DQ13&gt;0.9,0,DQ13&lt;0.01,0)</f>
        <v>0</v>
      </c>
    </row>
    <row r="14" spans="1:124" x14ac:dyDescent="0.4">
      <c r="A14">
        <v>4</v>
      </c>
      <c r="B14">
        <v>4.5</v>
      </c>
      <c r="C14">
        <f t="shared" si="0"/>
        <v>-8.1999999999999993</v>
      </c>
      <c r="D14">
        <f t="shared" si="1"/>
        <v>1.0014843664039097</v>
      </c>
      <c r="E14" cm="1">
        <f t="array" ref="E14">_xlfn.IFS(D14&gt;0.9,0,D14&lt;0.01,0)</f>
        <v>0</v>
      </c>
      <c r="N14">
        <v>4</v>
      </c>
      <c r="O14">
        <v>102.5</v>
      </c>
      <c r="P14">
        <f t="shared" si="3"/>
        <v>-18</v>
      </c>
      <c r="Q14">
        <f t="shared" si="4"/>
        <v>1.0056110520722636</v>
      </c>
      <c r="R14" cm="1">
        <f t="array" ref="R14">_xlfn.IFS(Q14&gt;0.9,0,Q14&lt;0.01,0)</f>
        <v>0</v>
      </c>
      <c r="AA14">
        <v>3</v>
      </c>
      <c r="AB14">
        <v>7.25</v>
      </c>
      <c r="AC14">
        <f t="shared" si="5"/>
        <v>-10</v>
      </c>
      <c r="AD14">
        <f t="shared" si="6"/>
        <v>0.99145471285533426</v>
      </c>
      <c r="AE14" cm="1">
        <f t="array" ref="AE14">_xlfn.IFS(AD14&gt;0.9,0,AD14&lt;0.01,0)</f>
        <v>0</v>
      </c>
      <c r="AN14">
        <v>4</v>
      </c>
      <c r="AO14">
        <v>101.75</v>
      </c>
      <c r="AP14">
        <f t="shared" si="7"/>
        <v>-5.5</v>
      </c>
      <c r="AQ14">
        <f t="shared" si="8"/>
        <v>1.002585863329245</v>
      </c>
      <c r="AR14" cm="1">
        <f t="array" ref="AR14">_xlfn.IFS(AQ14&gt;0.9,0,AQ14&lt;0.01,0)</f>
        <v>0</v>
      </c>
      <c r="BA14">
        <v>4</v>
      </c>
      <c r="BB14">
        <v>99.5</v>
      </c>
      <c r="BC14">
        <f t="shared" si="9"/>
        <v>-13.75</v>
      </c>
      <c r="BD14">
        <f t="shared" si="10"/>
        <v>0.99614926787320945</v>
      </c>
      <c r="BE14" cm="1">
        <f t="array" ref="BE14">_xlfn.IFS(BD14&gt;0.9,0,BD14&lt;0.01,0)</f>
        <v>0</v>
      </c>
      <c r="BN14">
        <v>4</v>
      </c>
      <c r="BO14">
        <v>6.5</v>
      </c>
      <c r="BP14">
        <f t="shared" si="11"/>
        <v>-11</v>
      </c>
      <c r="BQ14">
        <f t="shared" si="12"/>
        <v>1.0011798780711232</v>
      </c>
      <c r="BR14" cm="1">
        <f t="array" ref="BR14">_xlfn.IFS(BQ14&gt;0.9,0,BQ14&lt;0.01,0)</f>
        <v>0</v>
      </c>
      <c r="CA14">
        <v>4</v>
      </c>
      <c r="CB14">
        <v>91.25</v>
      </c>
      <c r="CC14">
        <f t="shared" si="13"/>
        <v>-19.25</v>
      </c>
      <c r="CD14">
        <f t="shared" si="14"/>
        <v>0.98594629476929696</v>
      </c>
      <c r="CE14" cm="1">
        <f t="array" ref="CE14">_xlfn.IFS(CD14&gt;0.9,0,CD14&lt;0.01,0)</f>
        <v>0</v>
      </c>
      <c r="CN14">
        <v>4</v>
      </c>
      <c r="CO14">
        <v>6.75</v>
      </c>
      <c r="CP14">
        <f t="shared" si="15"/>
        <v>-10</v>
      </c>
      <c r="CQ14">
        <f t="shared" si="16"/>
        <v>0.99716595089898874</v>
      </c>
      <c r="CR14" cm="1">
        <f t="array" ref="CR14">_xlfn.IFS(CQ14&gt;0.9,0,CQ14&lt;0.01,0)</f>
        <v>0</v>
      </c>
      <c r="DA14">
        <v>4</v>
      </c>
      <c r="DB14">
        <v>9.75</v>
      </c>
      <c r="DC14">
        <f t="shared" si="17"/>
        <v>-10.75</v>
      </c>
      <c r="DD14">
        <f t="shared" si="18"/>
        <v>0.99208382250390592</v>
      </c>
      <c r="DE14" cm="1">
        <f t="array" ref="DE14">_xlfn.IFS(DD14&gt;0.9,0,DD14&lt;0.01,0)</f>
        <v>0</v>
      </c>
      <c r="DN14">
        <v>4</v>
      </c>
      <c r="DO14">
        <v>5.75</v>
      </c>
      <c r="DP14">
        <f t="shared" si="19"/>
        <v>-9.25</v>
      </c>
      <c r="DQ14">
        <f t="shared" si="20"/>
        <v>0.99946867893976155</v>
      </c>
      <c r="DR14" cm="1">
        <f t="array" ref="DR14">_xlfn.IFS(DQ14&gt;0.9,0,DQ14&lt;0.01,0)</f>
        <v>0</v>
      </c>
    </row>
    <row r="15" spans="1:124" x14ac:dyDescent="0.4">
      <c r="A15">
        <v>4.25</v>
      </c>
      <c r="B15">
        <v>4.5</v>
      </c>
      <c r="C15">
        <f t="shared" si="0"/>
        <v>-7.9499999999999993</v>
      </c>
      <c r="D15">
        <f t="shared" si="1"/>
        <v>1.0014843664039097</v>
      </c>
      <c r="E15" cm="1">
        <f t="array" ref="E15">_xlfn.IFS(D15&gt;0.9,0,D15&lt;0.01,0)</f>
        <v>0</v>
      </c>
      <c r="N15">
        <v>4.25</v>
      </c>
      <c r="O15">
        <v>101.75</v>
      </c>
      <c r="P15">
        <f t="shared" si="3"/>
        <v>-17.75</v>
      </c>
      <c r="Q15">
        <f t="shared" si="4"/>
        <v>0.99767818534940822</v>
      </c>
      <c r="R15" cm="1">
        <f t="array" ref="R15">_xlfn.IFS(Q15&gt;0.9,0,Q15&lt;0.01,0)</f>
        <v>0</v>
      </c>
      <c r="AA15">
        <v>3.25</v>
      </c>
      <c r="AB15">
        <v>7.25</v>
      </c>
      <c r="AC15">
        <f t="shared" si="5"/>
        <v>-9.75</v>
      </c>
      <c r="AD15">
        <f t="shared" si="6"/>
        <v>0.99145471285533426</v>
      </c>
      <c r="AE15" cm="1">
        <f t="array" ref="AE15">_xlfn.IFS(AD15&gt;0.9,0,AD15&lt;0.01,0)</f>
        <v>0</v>
      </c>
      <c r="AN15">
        <v>4.25</v>
      </c>
      <c r="AO15">
        <v>101.75</v>
      </c>
      <c r="AP15">
        <f t="shared" si="7"/>
        <v>-5.25</v>
      </c>
      <c r="AQ15">
        <f t="shared" si="8"/>
        <v>1.002585863329245</v>
      </c>
      <c r="AR15" cm="1">
        <f t="array" ref="AR15">_xlfn.IFS(AQ15&gt;0.9,0,AQ15&lt;0.01,0)</f>
        <v>0</v>
      </c>
      <c r="BA15">
        <v>4.25</v>
      </c>
      <c r="BB15">
        <v>99.75</v>
      </c>
      <c r="BC15">
        <f t="shared" si="9"/>
        <v>-13.5</v>
      </c>
      <c r="BD15">
        <f t="shared" si="10"/>
        <v>0.99883950538644672</v>
      </c>
      <c r="BE15" cm="1">
        <f t="array" ref="BE15">_xlfn.IFS(BD15&gt;0.9,0,BD15&lt;0.01,0)</f>
        <v>0</v>
      </c>
      <c r="BN15">
        <v>4.25</v>
      </c>
      <c r="BO15">
        <v>6.5</v>
      </c>
      <c r="BP15">
        <f t="shared" si="11"/>
        <v>-10.75</v>
      </c>
      <c r="BQ15">
        <f t="shared" si="12"/>
        <v>1.0011798780711232</v>
      </c>
      <c r="BR15" cm="1">
        <f t="array" ref="BR15">_xlfn.IFS(BQ15&gt;0.9,0,BQ15&lt;0.01,0)</f>
        <v>0</v>
      </c>
      <c r="CA15">
        <v>4.25</v>
      </c>
      <c r="CB15">
        <v>91.25</v>
      </c>
      <c r="CC15">
        <f t="shared" si="13"/>
        <v>-19</v>
      </c>
      <c r="CD15">
        <f t="shared" si="14"/>
        <v>0.98594629476929696</v>
      </c>
      <c r="CE15" cm="1">
        <f t="array" ref="CE15">_xlfn.IFS(CD15&gt;0.9,0,CD15&lt;0.01,0)</f>
        <v>0</v>
      </c>
      <c r="CN15">
        <v>4.25</v>
      </c>
      <c r="CO15">
        <v>6.75</v>
      </c>
      <c r="CP15">
        <f t="shared" si="15"/>
        <v>-9.75</v>
      </c>
      <c r="CQ15">
        <f t="shared" si="16"/>
        <v>0.99716595089898874</v>
      </c>
      <c r="CR15" cm="1">
        <f t="array" ref="CR15">_xlfn.IFS(CQ15&gt;0.9,0,CQ15&lt;0.01,0)</f>
        <v>0</v>
      </c>
      <c r="DA15">
        <v>4.25</v>
      </c>
      <c r="DB15">
        <v>9.75</v>
      </c>
      <c r="DC15">
        <f t="shared" si="17"/>
        <v>-10.5</v>
      </c>
      <c r="DD15">
        <f t="shared" si="18"/>
        <v>0.99208382250390592</v>
      </c>
      <c r="DE15" cm="1">
        <f t="array" ref="DE15">_xlfn.IFS(DD15&gt;0.9,0,DD15&lt;0.01,0)</f>
        <v>0</v>
      </c>
      <c r="DN15">
        <v>4.25</v>
      </c>
      <c r="DO15">
        <v>5.75</v>
      </c>
      <c r="DP15">
        <f t="shared" si="19"/>
        <v>-9</v>
      </c>
      <c r="DQ15">
        <f t="shared" si="20"/>
        <v>0.99946867893976155</v>
      </c>
      <c r="DR15" cm="1">
        <f t="array" ref="DR15">_xlfn.IFS(DQ15&gt;0.9,0,DQ15&lt;0.01,0)</f>
        <v>0</v>
      </c>
    </row>
    <row r="16" spans="1:124" x14ac:dyDescent="0.4">
      <c r="A16">
        <v>4.5</v>
      </c>
      <c r="B16">
        <v>4.5</v>
      </c>
      <c r="C16">
        <f t="shared" si="0"/>
        <v>-7.6999999999999993</v>
      </c>
      <c r="D16">
        <f t="shared" si="1"/>
        <v>1.0014843664039097</v>
      </c>
      <c r="E16" cm="1">
        <f t="array" ref="E16">_xlfn.IFS(D16&gt;0.9,0,D16&lt;0.01,0)</f>
        <v>0</v>
      </c>
      <c r="N16">
        <v>4.5</v>
      </c>
      <c r="O16">
        <v>101.5</v>
      </c>
      <c r="P16">
        <f t="shared" si="3"/>
        <v>-17.5</v>
      </c>
      <c r="Q16">
        <f t="shared" si="4"/>
        <v>0.99503389644178974</v>
      </c>
      <c r="R16" cm="1">
        <f t="array" ref="R16">_xlfn.IFS(Q16&gt;0.9,0,Q16&lt;0.01,0)</f>
        <v>0</v>
      </c>
      <c r="AA16">
        <v>3.5</v>
      </c>
      <c r="AB16">
        <v>7.25</v>
      </c>
      <c r="AC16">
        <f t="shared" si="5"/>
        <v>-9.5</v>
      </c>
      <c r="AD16">
        <f t="shared" si="6"/>
        <v>0.99145471285533426</v>
      </c>
      <c r="AE16" cm="1">
        <f t="array" ref="AE16">_xlfn.IFS(AD16&gt;0.9,0,AD16&lt;0.01,0)</f>
        <v>0</v>
      </c>
      <c r="AN16">
        <v>4.5</v>
      </c>
      <c r="AO16">
        <v>101.75</v>
      </c>
      <c r="AP16">
        <f t="shared" si="7"/>
        <v>-5</v>
      </c>
      <c r="AQ16">
        <f t="shared" si="8"/>
        <v>1.002585863329245</v>
      </c>
      <c r="AR16" cm="1">
        <f t="array" ref="AR16">_xlfn.IFS(AQ16&gt;0.9,0,AQ16&lt;0.01,0)</f>
        <v>0</v>
      </c>
      <c r="BA16">
        <v>4.5</v>
      </c>
      <c r="BB16">
        <v>99.75</v>
      </c>
      <c r="BC16">
        <f t="shared" si="9"/>
        <v>-13.25</v>
      </c>
      <c r="BD16">
        <f t="shared" si="10"/>
        <v>0.99883950538644672</v>
      </c>
      <c r="BE16" cm="1">
        <f t="array" ref="BE16">_xlfn.IFS(BD16&gt;0.9,0,BD16&lt;0.01,0)</f>
        <v>0</v>
      </c>
      <c r="BN16">
        <v>4.5</v>
      </c>
      <c r="BO16">
        <v>6.5</v>
      </c>
      <c r="BP16">
        <f t="shared" si="11"/>
        <v>-10.5</v>
      </c>
      <c r="BQ16">
        <f t="shared" si="12"/>
        <v>1.0011798780711232</v>
      </c>
      <c r="BR16" cm="1">
        <f t="array" ref="BR16">_xlfn.IFS(BQ16&gt;0.9,0,BQ16&lt;0.01,0)</f>
        <v>0</v>
      </c>
      <c r="CA16">
        <v>4.5</v>
      </c>
      <c r="CB16">
        <v>91.25</v>
      </c>
      <c r="CC16">
        <f t="shared" si="13"/>
        <v>-18.75</v>
      </c>
      <c r="CD16">
        <f t="shared" si="14"/>
        <v>0.98594629476929696</v>
      </c>
      <c r="CE16" cm="1">
        <f t="array" ref="CE16">_xlfn.IFS(CD16&gt;0.9,0,CD16&lt;0.01,0)</f>
        <v>0</v>
      </c>
      <c r="CN16">
        <v>4.5</v>
      </c>
      <c r="CO16">
        <v>6.75</v>
      </c>
      <c r="CP16">
        <f t="shared" si="15"/>
        <v>-9.5</v>
      </c>
      <c r="CQ16">
        <f t="shared" si="16"/>
        <v>0.99716595089898874</v>
      </c>
      <c r="CR16" cm="1">
        <f t="array" ref="CR16">_xlfn.IFS(CQ16&gt;0.9,0,CQ16&lt;0.01,0)</f>
        <v>0</v>
      </c>
      <c r="DA16">
        <v>4.5</v>
      </c>
      <c r="DB16">
        <v>9.75</v>
      </c>
      <c r="DC16">
        <f t="shared" si="17"/>
        <v>-10.25</v>
      </c>
      <c r="DD16">
        <f t="shared" si="18"/>
        <v>0.99208382250390592</v>
      </c>
      <c r="DE16" cm="1">
        <f t="array" ref="DE16">_xlfn.IFS(DD16&gt;0.9,0,DD16&lt;0.01,0)</f>
        <v>0</v>
      </c>
      <c r="DN16">
        <v>4.5</v>
      </c>
      <c r="DO16">
        <v>5.75</v>
      </c>
      <c r="DP16">
        <f t="shared" si="19"/>
        <v>-8.75</v>
      </c>
      <c r="DQ16">
        <f t="shared" si="20"/>
        <v>0.99946867893976155</v>
      </c>
      <c r="DR16" cm="1">
        <f t="array" ref="DR16">_xlfn.IFS(DQ16&gt;0.9,0,DQ16&lt;0.01,0)</f>
        <v>0</v>
      </c>
    </row>
    <row r="17" spans="1:122" x14ac:dyDescent="0.4">
      <c r="A17">
        <v>4.75</v>
      </c>
      <c r="B17">
        <v>4.5</v>
      </c>
      <c r="C17">
        <f t="shared" si="0"/>
        <v>-7.4499999999999993</v>
      </c>
      <c r="D17">
        <f t="shared" si="1"/>
        <v>1.0014843664039097</v>
      </c>
      <c r="E17" cm="1">
        <f t="array" ref="E17">_xlfn.IFS(D17&gt;0.9,0,D17&lt;0.01,0)</f>
        <v>0</v>
      </c>
      <c r="N17">
        <v>4.75</v>
      </c>
      <c r="O17">
        <v>102</v>
      </c>
      <c r="P17">
        <f t="shared" si="3"/>
        <v>-17.25</v>
      </c>
      <c r="Q17">
        <f t="shared" si="4"/>
        <v>1.0003224742570267</v>
      </c>
      <c r="R17" cm="1">
        <f t="array" ref="R17">_xlfn.IFS(Q17&gt;0.9,0,Q17&lt;0.01,0)</f>
        <v>0</v>
      </c>
      <c r="AA17">
        <v>3.75</v>
      </c>
      <c r="AB17">
        <v>7.25</v>
      </c>
      <c r="AC17">
        <f t="shared" si="5"/>
        <v>-9.25</v>
      </c>
      <c r="AD17">
        <f t="shared" si="6"/>
        <v>0.99145471285533426</v>
      </c>
      <c r="AE17" cm="1">
        <f t="array" ref="AE17">_xlfn.IFS(AD17&gt;0.9,0,AD17&lt;0.01,0)</f>
        <v>0</v>
      </c>
      <c r="AN17">
        <v>4.75</v>
      </c>
      <c r="AO17">
        <v>101.75</v>
      </c>
      <c r="AP17">
        <f t="shared" si="7"/>
        <v>-4.75</v>
      </c>
      <c r="AQ17">
        <f t="shared" si="8"/>
        <v>1.002585863329245</v>
      </c>
      <c r="AR17" cm="1">
        <f t="array" ref="AR17">_xlfn.IFS(AQ17&gt;0.9,0,AQ17&lt;0.01,0)</f>
        <v>0</v>
      </c>
      <c r="BA17">
        <v>4.75</v>
      </c>
      <c r="BB17">
        <v>99.75</v>
      </c>
      <c r="BC17">
        <f t="shared" si="9"/>
        <v>-13</v>
      </c>
      <c r="BD17">
        <f t="shared" si="10"/>
        <v>0.99883950538644672</v>
      </c>
      <c r="BE17" cm="1">
        <f t="array" ref="BE17">_xlfn.IFS(BD17&gt;0.9,0,BD17&lt;0.01,0)</f>
        <v>0</v>
      </c>
      <c r="BN17">
        <v>4.75</v>
      </c>
      <c r="BO17">
        <v>6.5</v>
      </c>
      <c r="BP17">
        <f t="shared" si="11"/>
        <v>-10.25</v>
      </c>
      <c r="BQ17">
        <f t="shared" si="12"/>
        <v>1.0011798780711232</v>
      </c>
      <c r="BR17" cm="1">
        <f t="array" ref="BR17">_xlfn.IFS(BQ17&gt;0.9,0,BQ17&lt;0.01,0)</f>
        <v>0</v>
      </c>
      <c r="CA17">
        <v>4.75</v>
      </c>
      <c r="CB17">
        <v>91</v>
      </c>
      <c r="CC17">
        <f t="shared" si="13"/>
        <v>-18.5</v>
      </c>
      <c r="CD17">
        <f t="shared" si="14"/>
        <v>0.98296824770850511</v>
      </c>
      <c r="CE17" cm="1">
        <f t="array" ref="CE17">_xlfn.IFS(CD17&gt;0.9,0,CD17&lt;0.01,0)</f>
        <v>0</v>
      </c>
      <c r="CN17">
        <v>4.75</v>
      </c>
      <c r="CO17">
        <v>6.75</v>
      </c>
      <c r="CP17">
        <f t="shared" si="15"/>
        <v>-9.25</v>
      </c>
      <c r="CQ17">
        <f t="shared" si="16"/>
        <v>0.99716595089898874</v>
      </c>
      <c r="CR17" cm="1">
        <f t="array" ref="CR17">_xlfn.IFS(CQ17&gt;0.9,0,CQ17&lt;0.01,0)</f>
        <v>0</v>
      </c>
      <c r="DA17">
        <v>4.75</v>
      </c>
      <c r="DB17">
        <v>9.5</v>
      </c>
      <c r="DC17">
        <f t="shared" si="17"/>
        <v>-10</v>
      </c>
      <c r="DD17">
        <f t="shared" si="18"/>
        <v>0.99489614871962351</v>
      </c>
      <c r="DE17" cm="1">
        <f t="array" ref="DE17">_xlfn.IFS(DD17&gt;0.9,0,DD17&lt;0.01,0)</f>
        <v>0</v>
      </c>
      <c r="DN17">
        <v>4.75</v>
      </c>
      <c r="DO17">
        <v>5.75</v>
      </c>
      <c r="DP17">
        <f t="shared" si="19"/>
        <v>-8.5</v>
      </c>
      <c r="DQ17">
        <f t="shared" si="20"/>
        <v>0.99946867893976155</v>
      </c>
      <c r="DR17" cm="1">
        <f t="array" ref="DR17">_xlfn.IFS(DQ17&gt;0.9,0,DQ17&lt;0.01,0)</f>
        <v>0</v>
      </c>
    </row>
    <row r="18" spans="1:122" x14ac:dyDescent="0.4">
      <c r="A18">
        <v>5</v>
      </c>
      <c r="B18">
        <v>4.5</v>
      </c>
      <c r="C18">
        <f t="shared" si="0"/>
        <v>-7.1999999999999993</v>
      </c>
      <c r="D18">
        <f t="shared" si="1"/>
        <v>1.0014843664039097</v>
      </c>
      <c r="E18" cm="1">
        <f t="array" ref="E18">_xlfn.IFS(D18&gt;0.9,0,D18&lt;0.01,0)</f>
        <v>0</v>
      </c>
      <c r="N18">
        <v>5</v>
      </c>
      <c r="O18">
        <v>102</v>
      </c>
      <c r="P18">
        <f t="shared" si="3"/>
        <v>-17</v>
      </c>
      <c r="Q18">
        <f t="shared" si="4"/>
        <v>1.0003224742570267</v>
      </c>
      <c r="R18" cm="1">
        <f t="array" ref="R18">_xlfn.IFS(Q18&gt;0.9,0,Q18&lt;0.01,0)</f>
        <v>0</v>
      </c>
      <c r="AA18">
        <v>4</v>
      </c>
      <c r="AB18">
        <v>7.25</v>
      </c>
      <c r="AC18">
        <f t="shared" si="5"/>
        <v>-9</v>
      </c>
      <c r="AD18">
        <f t="shared" si="6"/>
        <v>0.99145471285533426</v>
      </c>
      <c r="AE18" cm="1">
        <f t="array" ref="AE18">_xlfn.IFS(AD18&gt;0.9,0,AD18&lt;0.01,0)</f>
        <v>0</v>
      </c>
      <c r="AN18">
        <v>5</v>
      </c>
      <c r="AO18">
        <v>101.75</v>
      </c>
      <c r="AP18">
        <f t="shared" si="7"/>
        <v>-4.5</v>
      </c>
      <c r="AQ18">
        <f t="shared" si="8"/>
        <v>1.002585863329245</v>
      </c>
      <c r="AR18" cm="1">
        <f t="array" ref="AR18">_xlfn.IFS(AQ18&gt;0.9,0,AQ18&lt;0.01,0)</f>
        <v>0</v>
      </c>
      <c r="BA18">
        <v>5</v>
      </c>
      <c r="BB18">
        <v>100</v>
      </c>
      <c r="BC18">
        <f t="shared" si="9"/>
        <v>-12.75</v>
      </c>
      <c r="BD18">
        <f t="shared" si="10"/>
        <v>1.0015297428996839</v>
      </c>
      <c r="BE18" cm="1">
        <f t="array" ref="BE18">_xlfn.IFS(BD18&gt;0.9,0,BD18&lt;0.01,0)</f>
        <v>0</v>
      </c>
      <c r="BN18">
        <v>5</v>
      </c>
      <c r="BO18">
        <v>6.5</v>
      </c>
      <c r="BP18">
        <f t="shared" si="11"/>
        <v>-10</v>
      </c>
      <c r="BQ18">
        <f t="shared" si="12"/>
        <v>1.0011798780711232</v>
      </c>
      <c r="BR18" cm="1">
        <f t="array" ref="BR18">_xlfn.IFS(BQ18&gt;0.9,0,BQ18&lt;0.01,0)</f>
        <v>0</v>
      </c>
      <c r="CA18">
        <v>5</v>
      </c>
      <c r="CB18">
        <v>91</v>
      </c>
      <c r="CC18">
        <f t="shared" si="13"/>
        <v>-18.25</v>
      </c>
      <c r="CD18">
        <f t="shared" si="14"/>
        <v>0.98296824770850511</v>
      </c>
      <c r="CE18" cm="1">
        <f t="array" ref="CE18">_xlfn.IFS(CD18&gt;0.9,0,CD18&lt;0.01,0)</f>
        <v>0</v>
      </c>
      <c r="CN18">
        <v>5</v>
      </c>
      <c r="CO18">
        <v>6.75</v>
      </c>
      <c r="CP18">
        <f t="shared" si="15"/>
        <v>-9</v>
      </c>
      <c r="CQ18">
        <f t="shared" si="16"/>
        <v>0.99716595089898874</v>
      </c>
      <c r="CR18" cm="1">
        <f t="array" ref="CR18">_xlfn.IFS(CQ18&gt;0.9,0,CQ18&lt;0.01,0)</f>
        <v>0</v>
      </c>
      <c r="DA18">
        <v>5</v>
      </c>
      <c r="DB18">
        <v>9.5</v>
      </c>
      <c r="DC18">
        <f t="shared" si="17"/>
        <v>-9.75</v>
      </c>
      <c r="DD18">
        <f t="shared" si="18"/>
        <v>0.99489614871962351</v>
      </c>
      <c r="DE18" cm="1">
        <f t="array" ref="DE18">_xlfn.IFS(DD18&gt;0.9,0,DD18&lt;0.01,0)</f>
        <v>0</v>
      </c>
      <c r="DN18">
        <v>5</v>
      </c>
      <c r="DO18">
        <v>5.75</v>
      </c>
      <c r="DP18">
        <f t="shared" si="19"/>
        <v>-8.25</v>
      </c>
      <c r="DQ18">
        <f t="shared" si="20"/>
        <v>0.99946867893976155</v>
      </c>
      <c r="DR18" cm="1">
        <f t="array" ref="DR18">_xlfn.IFS(DQ18&gt;0.9,0,DQ18&lt;0.01,0)</f>
        <v>0</v>
      </c>
    </row>
    <row r="19" spans="1:122" x14ac:dyDescent="0.4">
      <c r="A19">
        <v>5.25</v>
      </c>
      <c r="B19">
        <v>4.5</v>
      </c>
      <c r="C19">
        <f t="shared" si="0"/>
        <v>-6.9499999999999993</v>
      </c>
      <c r="D19">
        <f t="shared" si="1"/>
        <v>1.0014843664039097</v>
      </c>
      <c r="E19" cm="1">
        <f t="array" ref="E19">_xlfn.IFS(D19&gt;0.9,0,D19&lt;0.01,0)</f>
        <v>0</v>
      </c>
      <c r="N19">
        <v>5.25</v>
      </c>
      <c r="O19">
        <v>102</v>
      </c>
      <c r="P19">
        <f t="shared" si="3"/>
        <v>-16.75</v>
      </c>
      <c r="Q19">
        <f t="shared" si="4"/>
        <v>1.0003224742570267</v>
      </c>
      <c r="R19" cm="1">
        <f t="array" ref="R19">_xlfn.IFS(Q19&gt;0.9,0,Q19&lt;0.01,0)</f>
        <v>0</v>
      </c>
      <c r="AA19">
        <v>4.25</v>
      </c>
      <c r="AB19">
        <v>7.25</v>
      </c>
      <c r="AC19">
        <f t="shared" si="5"/>
        <v>-8.75</v>
      </c>
      <c r="AD19">
        <f t="shared" si="6"/>
        <v>0.99145471285533426</v>
      </c>
      <c r="AE19" cm="1">
        <f t="array" ref="AE19">_xlfn.IFS(AD19&gt;0.9,0,AD19&lt;0.01,0)</f>
        <v>0</v>
      </c>
      <c r="AN19">
        <v>5.25</v>
      </c>
      <c r="AO19">
        <v>101.75</v>
      </c>
      <c r="AP19">
        <f t="shared" si="7"/>
        <v>-4.25</v>
      </c>
      <c r="AQ19">
        <f t="shared" si="8"/>
        <v>1.002585863329245</v>
      </c>
      <c r="AR19" cm="1">
        <f t="array" ref="AR19">_xlfn.IFS(AQ19&gt;0.9,0,AQ19&lt;0.01,0)</f>
        <v>0</v>
      </c>
      <c r="BA19">
        <v>5.25</v>
      </c>
      <c r="BB19">
        <v>100</v>
      </c>
      <c r="BC19">
        <f t="shared" si="9"/>
        <v>-12.5</v>
      </c>
      <c r="BD19">
        <f t="shared" si="10"/>
        <v>1.0015297428996839</v>
      </c>
      <c r="BE19" cm="1">
        <f t="array" ref="BE19">_xlfn.IFS(BD19&gt;0.9,0,BD19&lt;0.01,0)</f>
        <v>0</v>
      </c>
      <c r="BN19">
        <v>5.25</v>
      </c>
      <c r="BO19">
        <v>6.75</v>
      </c>
      <c r="BP19">
        <f t="shared" si="11"/>
        <v>-9.75</v>
      </c>
      <c r="BQ19">
        <f t="shared" si="12"/>
        <v>0.99820453337002968</v>
      </c>
      <c r="BR19" cm="1">
        <f t="array" ref="BR19">_xlfn.IFS(BQ19&gt;0.9,0,BQ19&lt;0.01,0)</f>
        <v>0</v>
      </c>
      <c r="CA19">
        <v>5.25</v>
      </c>
      <c r="CB19">
        <v>91</v>
      </c>
      <c r="CC19">
        <f t="shared" si="13"/>
        <v>-18</v>
      </c>
      <c r="CD19">
        <f t="shared" si="14"/>
        <v>0.98296824770850511</v>
      </c>
      <c r="CE19" cm="1">
        <f t="array" ref="CE19">_xlfn.IFS(CD19&gt;0.9,0,CD19&lt;0.01,0)</f>
        <v>0</v>
      </c>
      <c r="CN19">
        <v>5.25</v>
      </c>
      <c r="CO19">
        <v>6.75</v>
      </c>
      <c r="CP19">
        <f t="shared" si="15"/>
        <v>-8.75</v>
      </c>
      <c r="CQ19">
        <f t="shared" si="16"/>
        <v>0.99716595089898874</v>
      </c>
      <c r="CR19" cm="1">
        <f t="array" ref="CR19">_xlfn.IFS(CQ19&gt;0.9,0,CQ19&lt;0.01,0)</f>
        <v>0</v>
      </c>
      <c r="DA19">
        <v>5.25</v>
      </c>
      <c r="DB19">
        <v>9.5</v>
      </c>
      <c r="DC19">
        <f t="shared" si="17"/>
        <v>-9.5</v>
      </c>
      <c r="DD19">
        <f t="shared" si="18"/>
        <v>0.99489614871962351</v>
      </c>
      <c r="DE19" cm="1">
        <f t="array" ref="DE19">_xlfn.IFS(DD19&gt;0.9,0,DD19&lt;0.01,0)</f>
        <v>0</v>
      </c>
      <c r="DN19">
        <v>5.25</v>
      </c>
      <c r="DO19">
        <v>5.75</v>
      </c>
      <c r="DP19">
        <f t="shared" si="19"/>
        <v>-8</v>
      </c>
      <c r="DQ19">
        <f t="shared" si="20"/>
        <v>0.99946867893976155</v>
      </c>
      <c r="DR19" cm="1">
        <f t="array" ref="DR19">_xlfn.IFS(DQ19&gt;0.9,0,DQ19&lt;0.01,0)</f>
        <v>0</v>
      </c>
    </row>
    <row r="20" spans="1:122" x14ac:dyDescent="0.4">
      <c r="A20">
        <v>5.5</v>
      </c>
      <c r="B20">
        <v>4.5</v>
      </c>
      <c r="C20">
        <f t="shared" si="0"/>
        <v>-6.6999999999999993</v>
      </c>
      <c r="D20">
        <f t="shared" si="1"/>
        <v>1.0014843664039097</v>
      </c>
      <c r="E20" cm="1">
        <f t="array" ref="E20">_xlfn.IFS(D20&gt;0.9,0,D20&lt;0.01,0)</f>
        <v>0</v>
      </c>
      <c r="N20">
        <v>5.5</v>
      </c>
      <c r="O20">
        <v>101.25</v>
      </c>
      <c r="P20">
        <f t="shared" si="3"/>
        <v>-16.5</v>
      </c>
      <c r="Q20">
        <f t="shared" si="4"/>
        <v>0.99238960753417127</v>
      </c>
      <c r="R20" cm="1">
        <f t="array" ref="R20">_xlfn.IFS(Q20&gt;0.9,0,Q20&lt;0.01,0)</f>
        <v>0</v>
      </c>
      <c r="AA20">
        <v>4.5</v>
      </c>
      <c r="AB20">
        <v>7.25</v>
      </c>
      <c r="AC20">
        <f t="shared" si="5"/>
        <v>-8.5</v>
      </c>
      <c r="AD20">
        <f t="shared" si="6"/>
        <v>0.99145471285533426</v>
      </c>
      <c r="AE20" cm="1">
        <f t="array" ref="AE20">_xlfn.IFS(AD20&gt;0.9,0,AD20&lt;0.01,0)</f>
        <v>0</v>
      </c>
      <c r="AN20">
        <v>5.5</v>
      </c>
      <c r="AO20">
        <v>101.75</v>
      </c>
      <c r="AP20">
        <f t="shared" si="7"/>
        <v>-4</v>
      </c>
      <c r="AQ20">
        <f t="shared" si="8"/>
        <v>1.002585863329245</v>
      </c>
      <c r="AR20" cm="1">
        <f t="array" ref="AR20">_xlfn.IFS(AQ20&gt;0.9,0,AQ20&lt;0.01,0)</f>
        <v>0</v>
      </c>
      <c r="BA20">
        <v>5.5</v>
      </c>
      <c r="BB20">
        <v>100</v>
      </c>
      <c r="BC20">
        <f t="shared" si="9"/>
        <v>-12.25</v>
      </c>
      <c r="BD20">
        <f t="shared" si="10"/>
        <v>1.0015297428996839</v>
      </c>
      <c r="BE20" cm="1">
        <f t="array" ref="BE20">_xlfn.IFS(BD20&gt;0.9,0,BD20&lt;0.01,0)</f>
        <v>0</v>
      </c>
      <c r="BN20">
        <v>5.5</v>
      </c>
      <c r="BO20">
        <v>6.5</v>
      </c>
      <c r="BP20">
        <f t="shared" si="11"/>
        <v>-9.5</v>
      </c>
      <c r="BQ20">
        <f t="shared" si="12"/>
        <v>1.0011798780711232</v>
      </c>
      <c r="BR20" cm="1">
        <f t="array" ref="BR20">_xlfn.IFS(BQ20&gt;0.9,0,BQ20&lt;0.01,0)</f>
        <v>0</v>
      </c>
      <c r="CA20">
        <v>5.5</v>
      </c>
      <c r="CB20">
        <v>91.25</v>
      </c>
      <c r="CC20">
        <f t="shared" si="13"/>
        <v>-17.75</v>
      </c>
      <c r="CD20">
        <f t="shared" si="14"/>
        <v>0.98594629476929696</v>
      </c>
      <c r="CE20" cm="1">
        <f t="array" ref="CE20">_xlfn.IFS(CD20&gt;0.9,0,CD20&lt;0.01,0)</f>
        <v>0</v>
      </c>
      <c r="CN20">
        <v>5.5</v>
      </c>
      <c r="CO20">
        <v>6.75</v>
      </c>
      <c r="CP20">
        <f t="shared" si="15"/>
        <v>-8.5</v>
      </c>
      <c r="CQ20">
        <f t="shared" si="16"/>
        <v>0.99716595089898874</v>
      </c>
      <c r="CR20" cm="1">
        <f t="array" ref="CR20">_xlfn.IFS(CQ20&gt;0.9,0,CQ20&lt;0.01,0)</f>
        <v>0</v>
      </c>
      <c r="DA20">
        <v>5.5</v>
      </c>
      <c r="DB20">
        <v>9.5</v>
      </c>
      <c r="DC20">
        <f t="shared" si="17"/>
        <v>-9.25</v>
      </c>
      <c r="DD20">
        <f t="shared" si="18"/>
        <v>0.99489614871962351</v>
      </c>
      <c r="DE20" cm="1">
        <f t="array" ref="DE20">_xlfn.IFS(DD20&gt;0.9,0,DD20&lt;0.01,0)</f>
        <v>0</v>
      </c>
      <c r="DN20">
        <v>5.5</v>
      </c>
      <c r="DO20">
        <v>5.75</v>
      </c>
      <c r="DP20">
        <f t="shared" si="19"/>
        <v>-7.75</v>
      </c>
      <c r="DQ20">
        <f t="shared" si="20"/>
        <v>0.99946867893976155</v>
      </c>
      <c r="DR20" cm="1">
        <f t="array" ref="DR20">_xlfn.IFS(DQ20&gt;0.9,0,DQ20&lt;0.01,0)</f>
        <v>0</v>
      </c>
    </row>
    <row r="21" spans="1:122" x14ac:dyDescent="0.4">
      <c r="A21">
        <v>5.75</v>
      </c>
      <c r="B21">
        <v>4.5</v>
      </c>
      <c r="C21">
        <f t="shared" si="0"/>
        <v>-6.4499999999999993</v>
      </c>
      <c r="D21">
        <f t="shared" si="1"/>
        <v>1.0014843664039097</v>
      </c>
      <c r="E21" cm="1">
        <f t="array" ref="E21">_xlfn.IFS(D21&gt;0.9,0,D21&lt;0.01,0)</f>
        <v>0</v>
      </c>
      <c r="N21">
        <v>5.75</v>
      </c>
      <c r="O21">
        <v>102</v>
      </c>
      <c r="P21">
        <f t="shared" si="3"/>
        <v>-16.25</v>
      </c>
      <c r="Q21">
        <f t="shared" si="4"/>
        <v>1.0003224742570267</v>
      </c>
      <c r="R21" cm="1">
        <f t="array" ref="R21">_xlfn.IFS(Q21&gt;0.9,0,Q21&lt;0.01,0)</f>
        <v>0</v>
      </c>
      <c r="AA21">
        <v>4.75</v>
      </c>
      <c r="AB21">
        <v>7</v>
      </c>
      <c r="AC21">
        <f t="shared" si="5"/>
        <v>-8.25</v>
      </c>
      <c r="AD21">
        <f t="shared" si="6"/>
        <v>1.0046610657152721</v>
      </c>
      <c r="AE21" cm="1">
        <f t="array" ref="AE21">_xlfn.IFS(AD21&gt;0.9,0,AD21&lt;0.01,0)</f>
        <v>0</v>
      </c>
      <c r="AN21">
        <v>5.75</v>
      </c>
      <c r="AO21">
        <v>101.75</v>
      </c>
      <c r="AP21">
        <f t="shared" si="7"/>
        <v>-3.75</v>
      </c>
      <c r="AQ21">
        <f t="shared" si="8"/>
        <v>1.002585863329245</v>
      </c>
      <c r="AR21" cm="1">
        <f t="array" ref="AR21">_xlfn.IFS(AQ21&gt;0.9,0,AQ21&lt;0.01,0)</f>
        <v>0</v>
      </c>
      <c r="BA21">
        <v>5.75</v>
      </c>
      <c r="BB21">
        <v>100</v>
      </c>
      <c r="BC21">
        <f t="shared" si="9"/>
        <v>-12</v>
      </c>
      <c r="BD21">
        <f t="shared" si="10"/>
        <v>1.0015297428996839</v>
      </c>
      <c r="BE21" cm="1">
        <f t="array" ref="BE21">_xlfn.IFS(BD21&gt;0.9,0,BD21&lt;0.01,0)</f>
        <v>0</v>
      </c>
      <c r="BN21">
        <v>5.75</v>
      </c>
      <c r="BO21">
        <v>6.5</v>
      </c>
      <c r="BP21">
        <f t="shared" si="11"/>
        <v>-9.25</v>
      </c>
      <c r="BQ21">
        <f t="shared" si="12"/>
        <v>1.0011798780711232</v>
      </c>
      <c r="BR21" cm="1">
        <f t="array" ref="BR21">_xlfn.IFS(BQ21&gt;0.9,0,BQ21&lt;0.01,0)</f>
        <v>0</v>
      </c>
      <c r="CA21">
        <v>5.75</v>
      </c>
      <c r="CB21">
        <v>91.25</v>
      </c>
      <c r="CC21">
        <f t="shared" si="13"/>
        <v>-17.5</v>
      </c>
      <c r="CD21">
        <f t="shared" si="14"/>
        <v>0.98594629476929696</v>
      </c>
      <c r="CE21" cm="1">
        <f t="array" ref="CE21">_xlfn.IFS(CD21&gt;0.9,0,CD21&lt;0.01,0)</f>
        <v>0</v>
      </c>
      <c r="CN21">
        <v>5.75</v>
      </c>
      <c r="CO21">
        <v>6.75</v>
      </c>
      <c r="CP21">
        <f t="shared" si="15"/>
        <v>-8.25</v>
      </c>
      <c r="CQ21">
        <f t="shared" si="16"/>
        <v>0.99716595089898874</v>
      </c>
      <c r="CR21" cm="1">
        <f t="array" ref="CR21">_xlfn.IFS(CQ21&gt;0.9,0,CQ21&lt;0.01,0)</f>
        <v>0</v>
      </c>
      <c r="DA21">
        <v>5.75</v>
      </c>
      <c r="DB21">
        <v>9.5</v>
      </c>
      <c r="DC21">
        <f t="shared" si="17"/>
        <v>-9</v>
      </c>
      <c r="DD21">
        <f t="shared" si="18"/>
        <v>0.99489614871962351</v>
      </c>
      <c r="DE21" cm="1">
        <f t="array" ref="DE21">_xlfn.IFS(DD21&gt;0.9,0,DD21&lt;0.01,0)</f>
        <v>0</v>
      </c>
      <c r="DN21">
        <v>5.75</v>
      </c>
      <c r="DO21">
        <v>5.5</v>
      </c>
      <c r="DP21">
        <f t="shared" si="19"/>
        <v>-7.5</v>
      </c>
      <c r="DQ21">
        <f t="shared" si="20"/>
        <v>1.002125284240954</v>
      </c>
      <c r="DR21" cm="1">
        <f t="array" ref="DR21">_xlfn.IFS(DQ21&gt;0.9,0,DQ21&lt;0.01,0)</f>
        <v>0</v>
      </c>
    </row>
    <row r="22" spans="1:122" x14ac:dyDescent="0.4">
      <c r="A22">
        <v>6</v>
      </c>
      <c r="B22">
        <v>4.5</v>
      </c>
      <c r="C22">
        <f t="shared" si="0"/>
        <v>-6.1999999999999993</v>
      </c>
      <c r="D22">
        <f t="shared" si="1"/>
        <v>1.0014843664039097</v>
      </c>
      <c r="E22" cm="1">
        <f t="array" ref="E22">_xlfn.IFS(D22&gt;0.9,0,D22&lt;0.01,0)</f>
        <v>0</v>
      </c>
      <c r="N22">
        <v>6</v>
      </c>
      <c r="O22">
        <v>102.5</v>
      </c>
      <c r="P22">
        <f t="shared" si="3"/>
        <v>-16</v>
      </c>
      <c r="Q22">
        <f t="shared" si="4"/>
        <v>1.0056110520722636</v>
      </c>
      <c r="R22" cm="1">
        <f t="array" ref="R22">_xlfn.IFS(Q22&gt;0.9,0,Q22&lt;0.01,0)</f>
        <v>0</v>
      </c>
      <c r="AA22">
        <v>5</v>
      </c>
      <c r="AB22">
        <v>7.25</v>
      </c>
      <c r="AC22">
        <f t="shared" si="5"/>
        <v>-8</v>
      </c>
      <c r="AD22">
        <f t="shared" si="6"/>
        <v>0.99145471285533426</v>
      </c>
      <c r="AE22" cm="1">
        <f t="array" ref="AE22">_xlfn.IFS(AD22&gt;0.9,0,AD22&lt;0.01,0)</f>
        <v>0</v>
      </c>
      <c r="AN22">
        <v>6</v>
      </c>
      <c r="AO22">
        <v>101.75</v>
      </c>
      <c r="AP22">
        <f t="shared" si="7"/>
        <v>-3.5</v>
      </c>
      <c r="AQ22">
        <f t="shared" si="8"/>
        <v>1.002585863329245</v>
      </c>
      <c r="AR22" cm="1">
        <f t="array" ref="AR22">_xlfn.IFS(AQ22&gt;0.9,0,AQ22&lt;0.01,0)</f>
        <v>0</v>
      </c>
      <c r="BA22">
        <v>6</v>
      </c>
      <c r="BB22">
        <v>100</v>
      </c>
      <c r="BC22">
        <f t="shared" si="9"/>
        <v>-11.75</v>
      </c>
      <c r="BD22">
        <f t="shared" si="10"/>
        <v>1.0015297428996839</v>
      </c>
      <c r="BE22" cm="1">
        <f t="array" ref="BE22">_xlfn.IFS(BD22&gt;0.9,0,BD22&lt;0.01,0)</f>
        <v>0</v>
      </c>
      <c r="BN22">
        <v>6</v>
      </c>
      <c r="BO22">
        <v>6.5</v>
      </c>
      <c r="BP22">
        <f t="shared" si="11"/>
        <v>-9</v>
      </c>
      <c r="BQ22">
        <f t="shared" si="12"/>
        <v>1.0011798780711232</v>
      </c>
      <c r="BR22" cm="1">
        <f t="array" ref="BR22">_xlfn.IFS(BQ22&gt;0.9,0,BQ22&lt;0.01,0)</f>
        <v>0</v>
      </c>
      <c r="CA22">
        <v>6</v>
      </c>
      <c r="CB22">
        <v>91.25</v>
      </c>
      <c r="CC22">
        <f t="shared" si="13"/>
        <v>-17.25</v>
      </c>
      <c r="CD22">
        <f t="shared" si="14"/>
        <v>0.98594629476929696</v>
      </c>
      <c r="CE22" cm="1">
        <f t="array" ref="CE22">_xlfn.IFS(CD22&gt;0.9,0,CD22&lt;0.01,0)</f>
        <v>0</v>
      </c>
      <c r="CN22">
        <v>6</v>
      </c>
      <c r="CO22">
        <v>6.75</v>
      </c>
      <c r="CP22">
        <f t="shared" si="15"/>
        <v>-8</v>
      </c>
      <c r="CQ22">
        <f t="shared" si="16"/>
        <v>0.99716595089898874</v>
      </c>
      <c r="CR22" cm="1">
        <f t="array" ref="CR22">_xlfn.IFS(CQ22&gt;0.9,0,CQ22&lt;0.01,0)</f>
        <v>0</v>
      </c>
      <c r="DA22">
        <v>6</v>
      </c>
      <c r="DB22">
        <v>9.25</v>
      </c>
      <c r="DC22">
        <f t="shared" si="17"/>
        <v>-8.75</v>
      </c>
      <c r="DD22">
        <f t="shared" si="18"/>
        <v>0.99770847493534109</v>
      </c>
      <c r="DE22" cm="1">
        <f t="array" ref="DE22">_xlfn.IFS(DD22&gt;0.9,0,DD22&lt;0.01,0)</f>
        <v>0</v>
      </c>
      <c r="DN22">
        <v>6</v>
      </c>
      <c r="DO22">
        <v>5.75</v>
      </c>
      <c r="DP22">
        <f t="shared" si="19"/>
        <v>-7.25</v>
      </c>
      <c r="DQ22">
        <f t="shared" si="20"/>
        <v>0.99946867893976155</v>
      </c>
      <c r="DR22" cm="1">
        <f t="array" ref="DR22">_xlfn.IFS(DQ22&gt;0.9,0,DQ22&lt;0.01,0)</f>
        <v>0</v>
      </c>
    </row>
    <row r="23" spans="1:122" x14ac:dyDescent="0.4">
      <c r="A23">
        <v>6.25</v>
      </c>
      <c r="B23">
        <v>4.5</v>
      </c>
      <c r="C23">
        <f t="shared" si="0"/>
        <v>-5.9499999999999993</v>
      </c>
      <c r="D23">
        <f t="shared" si="1"/>
        <v>1.0014843664039097</v>
      </c>
      <c r="E23" cm="1">
        <f t="array" ref="E23">_xlfn.IFS(D23&gt;0.9,0,D23&lt;0.01,0)</f>
        <v>0</v>
      </c>
      <c r="N23">
        <v>6.25</v>
      </c>
      <c r="O23">
        <v>102</v>
      </c>
      <c r="P23">
        <f t="shared" si="3"/>
        <v>-15.75</v>
      </c>
      <c r="Q23">
        <f t="shared" si="4"/>
        <v>1.0003224742570267</v>
      </c>
      <c r="R23" cm="1">
        <f t="array" ref="R23">_xlfn.IFS(Q23&gt;0.9,0,Q23&lt;0.01,0)</f>
        <v>0</v>
      </c>
      <c r="AA23">
        <v>5.25</v>
      </c>
      <c r="AB23">
        <v>7</v>
      </c>
      <c r="AC23">
        <f t="shared" si="5"/>
        <v>-7.75</v>
      </c>
      <c r="AD23">
        <f t="shared" si="6"/>
        <v>1.0046610657152721</v>
      </c>
      <c r="AE23" cm="1">
        <f t="array" ref="AE23">_xlfn.IFS(AD23&gt;0.9,0,AD23&lt;0.01,0)</f>
        <v>0</v>
      </c>
      <c r="AN23">
        <v>6.25</v>
      </c>
      <c r="AO23">
        <v>101.75</v>
      </c>
      <c r="AP23">
        <f t="shared" si="7"/>
        <v>-3.25</v>
      </c>
      <c r="AQ23">
        <f t="shared" si="8"/>
        <v>1.002585863329245</v>
      </c>
      <c r="AR23" cm="1">
        <f t="array" ref="AR23">_xlfn.IFS(AQ23&gt;0.9,0,AQ23&lt;0.01,0)</f>
        <v>0</v>
      </c>
      <c r="BA23">
        <v>6.25</v>
      </c>
      <c r="BB23">
        <v>100</v>
      </c>
      <c r="BC23">
        <f t="shared" si="9"/>
        <v>-11.5</v>
      </c>
      <c r="BD23">
        <f t="shared" si="10"/>
        <v>1.0015297428996839</v>
      </c>
      <c r="BE23" cm="1">
        <f t="array" ref="BE23">_xlfn.IFS(BD23&gt;0.9,0,BD23&lt;0.01,0)</f>
        <v>0</v>
      </c>
      <c r="BN23">
        <v>6.25</v>
      </c>
      <c r="BO23">
        <v>6.75</v>
      </c>
      <c r="BP23">
        <f t="shared" si="11"/>
        <v>-8.75</v>
      </c>
      <c r="BQ23">
        <f t="shared" si="12"/>
        <v>0.99820453337002968</v>
      </c>
      <c r="BR23" cm="1">
        <f t="array" ref="BR23">_xlfn.IFS(BQ23&gt;0.9,0,BQ23&lt;0.01,0)</f>
        <v>0</v>
      </c>
      <c r="CA23">
        <v>6.25</v>
      </c>
      <c r="CB23">
        <v>91.5</v>
      </c>
      <c r="CC23">
        <f t="shared" si="13"/>
        <v>-17</v>
      </c>
      <c r="CD23">
        <f t="shared" si="14"/>
        <v>0.9889243418300887</v>
      </c>
      <c r="CE23" cm="1">
        <f t="array" ref="CE23">_xlfn.IFS(CD23&gt;0.9,0,CD23&lt;0.01,0)</f>
        <v>0</v>
      </c>
      <c r="CN23">
        <v>6.25</v>
      </c>
      <c r="CO23">
        <v>6.75</v>
      </c>
      <c r="CP23">
        <f t="shared" si="15"/>
        <v>-7.75</v>
      </c>
      <c r="CQ23">
        <f t="shared" si="16"/>
        <v>0.99716595089898874</v>
      </c>
      <c r="CR23" cm="1">
        <f t="array" ref="CR23">_xlfn.IFS(CQ23&gt;0.9,0,CQ23&lt;0.01,0)</f>
        <v>0</v>
      </c>
      <c r="DA23">
        <v>6.25</v>
      </c>
      <c r="DB23">
        <v>9.25</v>
      </c>
      <c r="DC23">
        <f t="shared" si="17"/>
        <v>-8.5</v>
      </c>
      <c r="DD23">
        <f t="shared" si="18"/>
        <v>0.99770847493534109</v>
      </c>
      <c r="DE23" cm="1">
        <f t="array" ref="DE23">_xlfn.IFS(DD23&gt;0.9,0,DD23&lt;0.01,0)</f>
        <v>0</v>
      </c>
      <c r="DN23">
        <v>6.25</v>
      </c>
      <c r="DO23">
        <v>5.75</v>
      </c>
      <c r="DP23">
        <f t="shared" si="19"/>
        <v>-7</v>
      </c>
      <c r="DQ23">
        <f t="shared" si="20"/>
        <v>0.99946867893976155</v>
      </c>
      <c r="DR23" cm="1">
        <f t="array" ref="DR23">_xlfn.IFS(DQ23&gt;0.9,0,DQ23&lt;0.01,0)</f>
        <v>0</v>
      </c>
    </row>
    <row r="24" spans="1:122" x14ac:dyDescent="0.4">
      <c r="A24">
        <v>6.5</v>
      </c>
      <c r="B24">
        <v>4.75</v>
      </c>
      <c r="C24">
        <f t="shared" si="0"/>
        <v>-5.6999999999999993</v>
      </c>
      <c r="D24">
        <f t="shared" si="1"/>
        <v>0.99885817968930035</v>
      </c>
      <c r="E24" cm="1">
        <f t="array" ref="E24">_xlfn.IFS(D24&gt;0.9,0,D24&lt;0.01,0)</f>
        <v>0</v>
      </c>
      <c r="N24">
        <v>6.5</v>
      </c>
      <c r="O24">
        <v>101.75</v>
      </c>
      <c r="P24">
        <f t="shared" si="3"/>
        <v>-15.5</v>
      </c>
      <c r="Q24">
        <f t="shared" si="4"/>
        <v>0.99767818534940822</v>
      </c>
      <c r="R24" cm="1">
        <f t="array" ref="R24">_xlfn.IFS(Q24&gt;0.9,0,Q24&lt;0.01,0)</f>
        <v>0</v>
      </c>
      <c r="AA24">
        <v>5.5</v>
      </c>
      <c r="AB24">
        <v>7</v>
      </c>
      <c r="AC24">
        <f t="shared" si="5"/>
        <v>-7.5</v>
      </c>
      <c r="AD24">
        <f t="shared" si="6"/>
        <v>1.0046610657152721</v>
      </c>
      <c r="AE24" cm="1">
        <f t="array" ref="AE24">_xlfn.IFS(AD24&gt;0.9,0,AD24&lt;0.01,0)</f>
        <v>0</v>
      </c>
      <c r="AN24">
        <v>6.5</v>
      </c>
      <c r="AO24">
        <v>102</v>
      </c>
      <c r="AP24">
        <f t="shared" si="7"/>
        <v>-3</v>
      </c>
      <c r="AQ24">
        <f t="shared" si="8"/>
        <v>1.0059379083856737</v>
      </c>
      <c r="AR24" cm="1">
        <f t="array" ref="AR24">_xlfn.IFS(AQ24&gt;0.9,0,AQ24&lt;0.01,0)</f>
        <v>0</v>
      </c>
      <c r="BA24">
        <v>6.5</v>
      </c>
      <c r="BB24">
        <v>100</v>
      </c>
      <c r="BC24">
        <f t="shared" si="9"/>
        <v>-11.25</v>
      </c>
      <c r="BD24">
        <f t="shared" si="10"/>
        <v>1.0015297428996839</v>
      </c>
      <c r="BE24" cm="1">
        <f t="array" ref="BE24">_xlfn.IFS(BD24&gt;0.9,0,BD24&lt;0.01,0)</f>
        <v>0</v>
      </c>
      <c r="BN24">
        <v>6.5</v>
      </c>
      <c r="BO24">
        <v>6.75</v>
      </c>
      <c r="BP24">
        <f t="shared" si="11"/>
        <v>-8.5</v>
      </c>
      <c r="BQ24">
        <f t="shared" si="12"/>
        <v>0.99820453337002968</v>
      </c>
      <c r="BR24" cm="1">
        <f t="array" ref="BR24">_xlfn.IFS(BQ24&gt;0.9,0,BQ24&lt;0.01,0)</f>
        <v>0</v>
      </c>
      <c r="CA24">
        <v>6.5</v>
      </c>
      <c r="CB24">
        <v>91.75</v>
      </c>
      <c r="CC24">
        <f t="shared" si="13"/>
        <v>-16.75</v>
      </c>
      <c r="CD24">
        <f t="shared" si="14"/>
        <v>0.99190238889088056</v>
      </c>
      <c r="CE24" cm="1">
        <f t="array" ref="CE24">_xlfn.IFS(CD24&gt;0.9,0,CD24&lt;0.01,0)</f>
        <v>0</v>
      </c>
      <c r="CN24">
        <v>6.5</v>
      </c>
      <c r="CO24">
        <v>6.5</v>
      </c>
      <c r="CP24">
        <f t="shared" si="15"/>
        <v>-7.5</v>
      </c>
      <c r="CQ24">
        <f t="shared" si="16"/>
        <v>0.99994847183452706</v>
      </c>
      <c r="CR24" cm="1">
        <f t="array" ref="CR24">_xlfn.IFS(CQ24&gt;0.9,0,CQ24&lt;0.01,0)</f>
        <v>0</v>
      </c>
      <c r="DA24">
        <v>6.5</v>
      </c>
      <c r="DB24">
        <v>9.25</v>
      </c>
      <c r="DC24">
        <f t="shared" si="17"/>
        <v>-8.25</v>
      </c>
      <c r="DD24">
        <f t="shared" si="18"/>
        <v>0.99770847493534109</v>
      </c>
      <c r="DE24" cm="1">
        <f t="array" ref="DE24">_xlfn.IFS(DD24&gt;0.9,0,DD24&lt;0.01,0)</f>
        <v>0</v>
      </c>
      <c r="DN24">
        <v>6.5</v>
      </c>
      <c r="DO24">
        <v>5.75</v>
      </c>
      <c r="DP24">
        <f t="shared" si="19"/>
        <v>-6.75</v>
      </c>
      <c r="DQ24">
        <f t="shared" si="20"/>
        <v>0.99946867893976155</v>
      </c>
      <c r="DR24" cm="1">
        <f t="array" ref="DR24">_xlfn.IFS(DQ24&gt;0.9,0,DQ24&lt;0.01,0)</f>
        <v>0</v>
      </c>
    </row>
    <row r="25" spans="1:122" x14ac:dyDescent="0.4">
      <c r="A25">
        <v>6.75</v>
      </c>
      <c r="B25">
        <v>4.75</v>
      </c>
      <c r="C25">
        <f t="shared" si="0"/>
        <v>-5.4499999999999993</v>
      </c>
      <c r="D25">
        <f t="shared" si="1"/>
        <v>0.99885817968930035</v>
      </c>
      <c r="E25" cm="1">
        <f t="array" ref="E25">_xlfn.IFS(D25&gt;0.9,0,D25&lt;0.01,0)</f>
        <v>0</v>
      </c>
      <c r="N25">
        <v>6.75</v>
      </c>
      <c r="O25">
        <v>102</v>
      </c>
      <c r="P25">
        <f t="shared" si="3"/>
        <v>-15.25</v>
      </c>
      <c r="Q25">
        <f t="shared" si="4"/>
        <v>1.0003224742570267</v>
      </c>
      <c r="R25" cm="1">
        <f t="array" ref="R25">_xlfn.IFS(Q25&gt;0.9,0,Q25&lt;0.01,0)</f>
        <v>0</v>
      </c>
      <c r="AA25">
        <v>5.75</v>
      </c>
      <c r="AB25">
        <v>7</v>
      </c>
      <c r="AC25">
        <f t="shared" si="5"/>
        <v>-7.25</v>
      </c>
      <c r="AD25">
        <f t="shared" si="6"/>
        <v>1.0046610657152721</v>
      </c>
      <c r="AE25" cm="1">
        <f t="array" ref="AE25">_xlfn.IFS(AD25&gt;0.9,0,AD25&lt;0.01,0)</f>
        <v>0</v>
      </c>
      <c r="AN25">
        <v>6.75</v>
      </c>
      <c r="AO25">
        <v>101.75</v>
      </c>
      <c r="AP25">
        <f t="shared" si="7"/>
        <v>-2.75</v>
      </c>
      <c r="AQ25">
        <f t="shared" si="8"/>
        <v>1.002585863329245</v>
      </c>
      <c r="AR25" cm="1">
        <f t="array" ref="AR25">_xlfn.IFS(AQ25&gt;0.9,0,AQ25&lt;0.01,0)</f>
        <v>0</v>
      </c>
      <c r="BA25">
        <v>6.75</v>
      </c>
      <c r="BB25">
        <v>100.25</v>
      </c>
      <c r="BC25">
        <f t="shared" si="9"/>
        <v>-11</v>
      </c>
      <c r="BD25">
        <f t="shared" si="10"/>
        <v>1.004219980412921</v>
      </c>
      <c r="BE25" cm="1">
        <f t="array" ref="BE25">_xlfn.IFS(BD25&gt;0.9,0,BD25&lt;0.01,0)</f>
        <v>0</v>
      </c>
      <c r="BN25">
        <v>6.75</v>
      </c>
      <c r="BO25">
        <v>6.5</v>
      </c>
      <c r="BP25">
        <f t="shared" si="11"/>
        <v>-8.25</v>
      </c>
      <c r="BQ25">
        <f t="shared" si="12"/>
        <v>1.0011798780711232</v>
      </c>
      <c r="BR25" cm="1">
        <f t="array" ref="BR25">_xlfn.IFS(BQ25&gt;0.9,0,BQ25&lt;0.01,0)</f>
        <v>0</v>
      </c>
      <c r="CA25">
        <v>6.75</v>
      </c>
      <c r="CB25">
        <v>92</v>
      </c>
      <c r="CC25">
        <f t="shared" si="13"/>
        <v>-16.5</v>
      </c>
      <c r="CD25">
        <f t="shared" si="14"/>
        <v>0.99488043595167241</v>
      </c>
      <c r="CE25" cm="1">
        <f t="array" ref="CE25">_xlfn.IFS(CD25&gt;0.9,0,CD25&lt;0.01,0)</f>
        <v>0</v>
      </c>
      <c r="CN25">
        <v>6.75</v>
      </c>
      <c r="CO25">
        <v>6.5</v>
      </c>
      <c r="CP25">
        <f t="shared" si="15"/>
        <v>-7.25</v>
      </c>
      <c r="CQ25">
        <f t="shared" si="16"/>
        <v>0.99994847183452706</v>
      </c>
      <c r="CR25" cm="1">
        <f t="array" ref="CR25">_xlfn.IFS(CQ25&gt;0.9,0,CQ25&lt;0.01,0)</f>
        <v>0</v>
      </c>
      <c r="DA25">
        <v>6.75</v>
      </c>
      <c r="DB25">
        <v>9.25</v>
      </c>
      <c r="DC25">
        <f t="shared" si="17"/>
        <v>-8</v>
      </c>
      <c r="DD25">
        <f t="shared" si="18"/>
        <v>0.99770847493534109</v>
      </c>
      <c r="DE25" cm="1">
        <f t="array" ref="DE25">_xlfn.IFS(DD25&gt;0.9,0,DD25&lt;0.01,0)</f>
        <v>0</v>
      </c>
      <c r="DN25">
        <v>6.75</v>
      </c>
      <c r="DO25">
        <v>5.75</v>
      </c>
      <c r="DP25">
        <f t="shared" si="19"/>
        <v>-6.5</v>
      </c>
      <c r="DQ25">
        <f t="shared" si="20"/>
        <v>0.99946867893976155</v>
      </c>
      <c r="DR25" cm="1">
        <f t="array" ref="DR25">_xlfn.IFS(DQ25&gt;0.9,0,DQ25&lt;0.01,0)</f>
        <v>0</v>
      </c>
    </row>
    <row r="26" spans="1:122" x14ac:dyDescent="0.4">
      <c r="A26">
        <v>7</v>
      </c>
      <c r="B26">
        <v>4.75</v>
      </c>
      <c r="C26">
        <f t="shared" si="0"/>
        <v>-5.1999999999999993</v>
      </c>
      <c r="D26">
        <f t="shared" si="1"/>
        <v>0.99885817968930035</v>
      </c>
      <c r="E26" cm="1">
        <f t="array" ref="E26">_xlfn.IFS(D26&gt;0.9,0,D26&lt;0.01,0)</f>
        <v>0</v>
      </c>
      <c r="N26">
        <v>7</v>
      </c>
      <c r="O26">
        <v>102.5</v>
      </c>
      <c r="P26">
        <f t="shared" si="3"/>
        <v>-15</v>
      </c>
      <c r="Q26">
        <f t="shared" si="4"/>
        <v>1.0056110520722636</v>
      </c>
      <c r="R26" cm="1">
        <f t="array" ref="R26">_xlfn.IFS(Q26&gt;0.9,0,Q26&lt;0.01,0)</f>
        <v>0</v>
      </c>
      <c r="AA26">
        <v>6</v>
      </c>
      <c r="AB26">
        <v>7</v>
      </c>
      <c r="AC26">
        <f t="shared" si="5"/>
        <v>-7</v>
      </c>
      <c r="AD26">
        <f t="shared" si="6"/>
        <v>1.0046610657152721</v>
      </c>
      <c r="AE26" cm="1">
        <f t="array" ref="AE26">_xlfn.IFS(AD26&gt;0.9,0,AD26&lt;0.01,0)</f>
        <v>0</v>
      </c>
      <c r="AN26">
        <v>7</v>
      </c>
      <c r="AO26">
        <v>101.75</v>
      </c>
      <c r="AP26">
        <f t="shared" si="7"/>
        <v>-2.5</v>
      </c>
      <c r="AQ26">
        <f t="shared" si="8"/>
        <v>1.002585863329245</v>
      </c>
      <c r="AR26" cm="1">
        <f t="array" ref="AR26">_xlfn.IFS(AQ26&gt;0.9,0,AQ26&lt;0.01,0)</f>
        <v>0</v>
      </c>
      <c r="BA26">
        <v>7</v>
      </c>
      <c r="BB26">
        <v>100.25</v>
      </c>
      <c r="BC26">
        <f t="shared" si="9"/>
        <v>-10.75</v>
      </c>
      <c r="BD26">
        <f t="shared" si="10"/>
        <v>1.004219980412921</v>
      </c>
      <c r="BE26" cm="1">
        <f t="array" ref="BE26">_xlfn.IFS(BD26&gt;0.9,0,BD26&lt;0.01,0)</f>
        <v>0</v>
      </c>
      <c r="BN26">
        <v>7</v>
      </c>
      <c r="BO26">
        <v>6.5</v>
      </c>
      <c r="BP26">
        <f t="shared" si="11"/>
        <v>-8</v>
      </c>
      <c r="BQ26">
        <f t="shared" si="12"/>
        <v>1.0011798780711232</v>
      </c>
      <c r="BR26" cm="1">
        <f t="array" ref="BR26">_xlfn.IFS(BQ26&gt;0.9,0,BQ26&lt;0.01,0)</f>
        <v>0</v>
      </c>
      <c r="CA26">
        <v>7</v>
      </c>
      <c r="CB26">
        <v>92.25</v>
      </c>
      <c r="CC26">
        <f t="shared" si="13"/>
        <v>-16.25</v>
      </c>
      <c r="CD26">
        <f t="shared" si="14"/>
        <v>0.99785848301246427</v>
      </c>
      <c r="CE26" cm="1">
        <f t="array" ref="CE26">_xlfn.IFS(CD26&gt;0.9,0,CD26&lt;0.01,0)</f>
        <v>0</v>
      </c>
      <c r="CN26">
        <v>7</v>
      </c>
      <c r="CO26">
        <v>6.5</v>
      </c>
      <c r="CP26">
        <f t="shared" si="15"/>
        <v>-7</v>
      </c>
      <c r="CQ26">
        <f t="shared" si="16"/>
        <v>0.99994847183452706</v>
      </c>
      <c r="CR26" cm="1">
        <f t="array" ref="CR26">_xlfn.IFS(CQ26&gt;0.9,0,CQ26&lt;0.01,0)</f>
        <v>0</v>
      </c>
      <c r="DA26">
        <v>7</v>
      </c>
      <c r="DB26">
        <v>9.25</v>
      </c>
      <c r="DC26">
        <f t="shared" si="17"/>
        <v>-7.75</v>
      </c>
      <c r="DD26">
        <f t="shared" si="18"/>
        <v>0.99770847493534109</v>
      </c>
      <c r="DE26" cm="1">
        <f t="array" ref="DE26">_xlfn.IFS(DD26&gt;0.9,0,DD26&lt;0.01,0)</f>
        <v>0</v>
      </c>
      <c r="DN26">
        <v>7</v>
      </c>
      <c r="DO26">
        <v>5.75</v>
      </c>
      <c r="DP26">
        <f t="shared" si="19"/>
        <v>-6.25</v>
      </c>
      <c r="DQ26">
        <f t="shared" si="20"/>
        <v>0.99946867893976155</v>
      </c>
      <c r="DR26" cm="1">
        <f t="array" ref="DR26">_xlfn.IFS(DQ26&gt;0.9,0,DQ26&lt;0.01,0)</f>
        <v>0</v>
      </c>
    </row>
    <row r="27" spans="1:122" x14ac:dyDescent="0.4">
      <c r="A27">
        <v>7.25</v>
      </c>
      <c r="B27">
        <v>4.75</v>
      </c>
      <c r="C27">
        <f t="shared" si="0"/>
        <v>-4.9499999999999993</v>
      </c>
      <c r="D27">
        <f t="shared" si="1"/>
        <v>0.99885817968930035</v>
      </c>
      <c r="E27" cm="1">
        <f t="array" ref="E27">_xlfn.IFS(D27&gt;0.9,0,D27&lt;0.01,0)</f>
        <v>0</v>
      </c>
      <c r="N27">
        <v>7.25</v>
      </c>
      <c r="O27">
        <v>102</v>
      </c>
      <c r="P27">
        <f t="shared" si="3"/>
        <v>-14.75</v>
      </c>
      <c r="Q27">
        <f t="shared" si="4"/>
        <v>1.0003224742570267</v>
      </c>
      <c r="R27" cm="1">
        <f t="array" ref="R27">_xlfn.IFS(Q27&gt;0.9,0,Q27&lt;0.01,0)</f>
        <v>0</v>
      </c>
      <c r="AA27">
        <v>6.25</v>
      </c>
      <c r="AB27">
        <v>7</v>
      </c>
      <c r="AC27">
        <f t="shared" si="5"/>
        <v>-6.75</v>
      </c>
      <c r="AD27">
        <f t="shared" si="6"/>
        <v>1.0046610657152721</v>
      </c>
      <c r="AE27" cm="1">
        <f t="array" ref="AE27">_xlfn.IFS(AD27&gt;0.9,0,AD27&lt;0.01,0)</f>
        <v>0</v>
      </c>
      <c r="AN27">
        <v>7.25</v>
      </c>
      <c r="AO27">
        <v>101.75</v>
      </c>
      <c r="AP27">
        <f t="shared" si="7"/>
        <v>-2.25</v>
      </c>
      <c r="AQ27">
        <f t="shared" si="8"/>
        <v>1.002585863329245</v>
      </c>
      <c r="AR27" cm="1">
        <f t="array" ref="AR27">_xlfn.IFS(AQ27&gt;0.9,0,AQ27&lt;0.01,0)</f>
        <v>0</v>
      </c>
      <c r="BA27">
        <v>7.25</v>
      </c>
      <c r="BB27">
        <v>100</v>
      </c>
      <c r="BC27">
        <f t="shared" si="9"/>
        <v>-10.5</v>
      </c>
      <c r="BD27">
        <f t="shared" si="10"/>
        <v>1.0015297428996839</v>
      </c>
      <c r="BE27" cm="1">
        <f t="array" ref="BE27">_xlfn.IFS(BD27&gt;0.9,0,BD27&lt;0.01,0)</f>
        <v>0</v>
      </c>
      <c r="BN27">
        <v>7.25</v>
      </c>
      <c r="BO27">
        <v>6.75</v>
      </c>
      <c r="BP27">
        <f t="shared" si="11"/>
        <v>-7.75</v>
      </c>
      <c r="BQ27">
        <f t="shared" si="12"/>
        <v>0.99820453337002968</v>
      </c>
      <c r="BR27" cm="1">
        <f t="array" ref="BR27">_xlfn.IFS(BQ27&gt;0.9,0,BQ27&lt;0.01,0)</f>
        <v>0</v>
      </c>
      <c r="CA27">
        <v>7.25</v>
      </c>
      <c r="CB27">
        <v>92.25</v>
      </c>
      <c r="CC27">
        <f t="shared" si="13"/>
        <v>-16</v>
      </c>
      <c r="CD27">
        <f t="shared" si="14"/>
        <v>0.99785848301246427</v>
      </c>
      <c r="CE27" cm="1">
        <f t="array" ref="CE27">_xlfn.IFS(CD27&gt;0.9,0,CD27&lt;0.01,0)</f>
        <v>0</v>
      </c>
      <c r="CN27">
        <v>7.25</v>
      </c>
      <c r="CO27">
        <v>6.5</v>
      </c>
      <c r="CP27">
        <f t="shared" si="15"/>
        <v>-6.75</v>
      </c>
      <c r="CQ27">
        <f t="shared" si="16"/>
        <v>0.99994847183452706</v>
      </c>
      <c r="CR27" cm="1">
        <f t="array" ref="CR27">_xlfn.IFS(CQ27&gt;0.9,0,CQ27&lt;0.01,0)</f>
        <v>0</v>
      </c>
      <c r="DA27">
        <v>7.25</v>
      </c>
      <c r="DB27">
        <v>9</v>
      </c>
      <c r="DC27">
        <f t="shared" si="17"/>
        <v>-7.5</v>
      </c>
      <c r="DD27">
        <f t="shared" si="18"/>
        <v>1.0005208011510587</v>
      </c>
      <c r="DE27" cm="1">
        <f t="array" ref="DE27">_xlfn.IFS(DD27&gt;0.9,0,DD27&lt;0.01,0)</f>
        <v>0</v>
      </c>
      <c r="DN27">
        <v>7.25</v>
      </c>
      <c r="DO27">
        <v>5.75</v>
      </c>
      <c r="DP27">
        <f t="shared" si="19"/>
        <v>-6</v>
      </c>
      <c r="DQ27">
        <f t="shared" si="20"/>
        <v>0.99946867893976155</v>
      </c>
      <c r="DR27" cm="1">
        <f t="array" ref="DR27">_xlfn.IFS(DQ27&gt;0.9,0,DQ27&lt;0.01,0)</f>
        <v>0</v>
      </c>
    </row>
    <row r="28" spans="1:122" x14ac:dyDescent="0.4">
      <c r="A28">
        <v>7.5</v>
      </c>
      <c r="B28">
        <v>4.75</v>
      </c>
      <c r="C28">
        <f t="shared" si="0"/>
        <v>-4.6999999999999993</v>
      </c>
      <c r="D28">
        <f t="shared" si="1"/>
        <v>0.99885817968930035</v>
      </c>
      <c r="E28" cm="1">
        <f t="array" ref="E28">_xlfn.IFS(D28&gt;0.9,0,D28&lt;0.01,0)</f>
        <v>0</v>
      </c>
      <c r="N28">
        <v>7.5</v>
      </c>
      <c r="O28">
        <v>102</v>
      </c>
      <c r="P28">
        <f t="shared" si="3"/>
        <v>-14.5</v>
      </c>
      <c r="Q28">
        <f t="shared" si="4"/>
        <v>1.0003224742570267</v>
      </c>
      <c r="R28" cm="1">
        <f t="array" ref="R28">_xlfn.IFS(Q28&gt;0.9,0,Q28&lt;0.01,0)</f>
        <v>0</v>
      </c>
      <c r="AA28">
        <v>6.5</v>
      </c>
      <c r="AB28">
        <v>7</v>
      </c>
      <c r="AC28">
        <f t="shared" si="5"/>
        <v>-6.5</v>
      </c>
      <c r="AD28">
        <f t="shared" si="6"/>
        <v>1.0046610657152721</v>
      </c>
      <c r="AE28" cm="1">
        <f t="array" ref="AE28">_xlfn.IFS(AD28&gt;0.9,0,AD28&lt;0.01,0)</f>
        <v>0</v>
      </c>
      <c r="AN28">
        <v>7.5</v>
      </c>
      <c r="AO28">
        <v>102</v>
      </c>
      <c r="AP28">
        <f t="shared" si="7"/>
        <v>-2</v>
      </c>
      <c r="AQ28">
        <f t="shared" si="8"/>
        <v>1.0059379083856737</v>
      </c>
      <c r="AR28" cm="1">
        <f t="array" ref="AR28">_xlfn.IFS(AQ28&gt;0.9,0,AQ28&lt;0.01,0)</f>
        <v>0</v>
      </c>
      <c r="BA28">
        <v>7.5</v>
      </c>
      <c r="BB28">
        <v>100.25</v>
      </c>
      <c r="BC28">
        <f t="shared" si="9"/>
        <v>-10.25</v>
      </c>
      <c r="BD28">
        <f t="shared" si="10"/>
        <v>1.004219980412921</v>
      </c>
      <c r="BE28" cm="1">
        <f t="array" ref="BE28">_xlfn.IFS(BD28&gt;0.9,0,BD28&lt;0.01,0)</f>
        <v>0</v>
      </c>
      <c r="BN28">
        <v>7.5</v>
      </c>
      <c r="BO28">
        <v>6.5</v>
      </c>
      <c r="BP28">
        <f t="shared" si="11"/>
        <v>-7.5</v>
      </c>
      <c r="BQ28">
        <f t="shared" si="12"/>
        <v>1.0011798780711232</v>
      </c>
      <c r="BR28" cm="1">
        <f t="array" ref="BR28">_xlfn.IFS(BQ28&gt;0.9,0,BQ28&lt;0.01,0)</f>
        <v>0</v>
      </c>
      <c r="CA28">
        <v>7.5</v>
      </c>
      <c r="CB28">
        <v>92.25</v>
      </c>
      <c r="CC28">
        <f t="shared" si="13"/>
        <v>-15.75</v>
      </c>
      <c r="CD28">
        <f t="shared" si="14"/>
        <v>0.99785848301246427</v>
      </c>
      <c r="CE28" cm="1">
        <f t="array" ref="CE28">_xlfn.IFS(CD28&gt;0.9,0,CD28&lt;0.01,0)</f>
        <v>0</v>
      </c>
      <c r="CN28">
        <v>7.5</v>
      </c>
      <c r="CO28">
        <v>6.5</v>
      </c>
      <c r="CP28">
        <f t="shared" si="15"/>
        <v>-6.5</v>
      </c>
      <c r="CQ28">
        <f t="shared" si="16"/>
        <v>0.99994847183452706</v>
      </c>
      <c r="CR28" cm="1">
        <f t="array" ref="CR28">_xlfn.IFS(CQ28&gt;0.9,0,CQ28&lt;0.01,0)</f>
        <v>0</v>
      </c>
      <c r="DA28">
        <v>7.5</v>
      </c>
      <c r="DB28">
        <v>9</v>
      </c>
      <c r="DC28">
        <f t="shared" si="17"/>
        <v>-7.25</v>
      </c>
      <c r="DD28">
        <f t="shared" si="18"/>
        <v>1.0005208011510587</v>
      </c>
      <c r="DE28" cm="1">
        <f t="array" ref="DE28">_xlfn.IFS(DD28&gt;0.9,0,DD28&lt;0.01,0)</f>
        <v>0</v>
      </c>
      <c r="DN28">
        <v>7.5</v>
      </c>
      <c r="DO28">
        <v>5.75</v>
      </c>
      <c r="DP28">
        <f t="shared" si="19"/>
        <v>-5.75</v>
      </c>
      <c r="DQ28">
        <f t="shared" si="20"/>
        <v>0.99946867893976155</v>
      </c>
      <c r="DR28" cm="1">
        <f t="array" ref="DR28">_xlfn.IFS(DQ28&gt;0.9,0,DQ28&lt;0.01,0)</f>
        <v>0</v>
      </c>
    </row>
    <row r="29" spans="1:122" x14ac:dyDescent="0.4">
      <c r="A29">
        <v>7.75</v>
      </c>
      <c r="B29">
        <v>4.75</v>
      </c>
      <c r="C29">
        <f t="shared" si="0"/>
        <v>-4.4499999999999993</v>
      </c>
      <c r="D29">
        <f t="shared" si="1"/>
        <v>0.99885817968930035</v>
      </c>
      <c r="E29" cm="1">
        <f t="array" ref="E29">_xlfn.IFS(D29&gt;0.9,0,D29&lt;0.01,0)</f>
        <v>0</v>
      </c>
      <c r="N29">
        <v>7.75</v>
      </c>
      <c r="O29">
        <v>101.75</v>
      </c>
      <c r="P29">
        <f t="shared" si="3"/>
        <v>-14.25</v>
      </c>
      <c r="Q29">
        <f t="shared" si="4"/>
        <v>0.99767818534940822</v>
      </c>
      <c r="R29" cm="1">
        <f t="array" ref="R29">_xlfn.IFS(Q29&gt;0.9,0,Q29&lt;0.01,0)</f>
        <v>0</v>
      </c>
      <c r="AA29">
        <v>6.75</v>
      </c>
      <c r="AB29">
        <v>7</v>
      </c>
      <c r="AC29">
        <f t="shared" si="5"/>
        <v>-6.25</v>
      </c>
      <c r="AD29">
        <f t="shared" si="6"/>
        <v>1.0046610657152721</v>
      </c>
      <c r="AE29" cm="1">
        <f t="array" ref="AE29">_xlfn.IFS(AD29&gt;0.9,0,AD29&lt;0.01,0)</f>
        <v>0</v>
      </c>
      <c r="AN29">
        <v>7.75</v>
      </c>
      <c r="AO29">
        <v>102</v>
      </c>
      <c r="AP29">
        <f t="shared" si="7"/>
        <v>-1.75</v>
      </c>
      <c r="AQ29">
        <f t="shared" si="8"/>
        <v>1.0059379083856737</v>
      </c>
      <c r="AR29" cm="1">
        <f t="array" ref="AR29">_xlfn.IFS(AQ29&gt;0.9,0,AQ29&lt;0.01,0)</f>
        <v>0</v>
      </c>
      <c r="BA29">
        <v>7.75</v>
      </c>
      <c r="BB29">
        <v>100.25</v>
      </c>
      <c r="BC29">
        <f t="shared" si="9"/>
        <v>-10</v>
      </c>
      <c r="BD29">
        <f t="shared" si="10"/>
        <v>1.004219980412921</v>
      </c>
      <c r="BE29" cm="1">
        <f t="array" ref="BE29">_xlfn.IFS(BD29&gt;0.9,0,BD29&lt;0.01,0)</f>
        <v>0</v>
      </c>
      <c r="BN29">
        <v>7.75</v>
      </c>
      <c r="BO29">
        <v>6.75</v>
      </c>
      <c r="BP29">
        <f t="shared" si="11"/>
        <v>-7.25</v>
      </c>
      <c r="BQ29">
        <f t="shared" si="12"/>
        <v>0.99820453337002968</v>
      </c>
      <c r="BR29" cm="1">
        <f t="array" ref="BR29">_xlfn.IFS(BQ29&gt;0.9,0,BQ29&lt;0.01,0)</f>
        <v>0</v>
      </c>
      <c r="CA29">
        <v>7.75</v>
      </c>
      <c r="CB29">
        <v>92.5</v>
      </c>
      <c r="CC29">
        <f t="shared" si="13"/>
        <v>-15.5</v>
      </c>
      <c r="CD29">
        <f t="shared" si="14"/>
        <v>1.000836530073256</v>
      </c>
      <c r="CE29" cm="1">
        <f t="array" ref="CE29">_xlfn.IFS(CD29&gt;0.9,0,CD29&lt;0.01,0)</f>
        <v>0</v>
      </c>
      <c r="CN29">
        <v>7.75</v>
      </c>
      <c r="CO29">
        <v>6.5</v>
      </c>
      <c r="CP29">
        <f t="shared" si="15"/>
        <v>-6.25</v>
      </c>
      <c r="CQ29">
        <f t="shared" si="16"/>
        <v>0.99994847183452706</v>
      </c>
      <c r="CR29" cm="1">
        <f t="array" ref="CR29">_xlfn.IFS(CQ29&gt;0.9,0,CQ29&lt;0.01,0)</f>
        <v>0</v>
      </c>
      <c r="DA29">
        <v>7.75</v>
      </c>
      <c r="DB29">
        <v>9</v>
      </c>
      <c r="DC29">
        <f t="shared" si="17"/>
        <v>-7</v>
      </c>
      <c r="DD29">
        <f t="shared" si="18"/>
        <v>1.0005208011510587</v>
      </c>
      <c r="DE29" cm="1">
        <f t="array" ref="DE29">_xlfn.IFS(DD29&gt;0.9,0,DD29&lt;0.01,0)</f>
        <v>0</v>
      </c>
      <c r="DN29">
        <v>7.75</v>
      </c>
      <c r="DO29">
        <v>5.75</v>
      </c>
      <c r="DP29">
        <f t="shared" si="19"/>
        <v>-5.5</v>
      </c>
      <c r="DQ29">
        <f t="shared" si="20"/>
        <v>0.99946867893976155</v>
      </c>
      <c r="DR29" cm="1">
        <f t="array" ref="DR29">_xlfn.IFS(DQ29&gt;0.9,0,DQ29&lt;0.01,0)</f>
        <v>0</v>
      </c>
    </row>
    <row r="30" spans="1:122" x14ac:dyDescent="0.4">
      <c r="A30">
        <v>8</v>
      </c>
      <c r="B30">
        <v>4.75</v>
      </c>
      <c r="C30">
        <f t="shared" si="0"/>
        <v>-4.1999999999999993</v>
      </c>
      <c r="D30">
        <f t="shared" si="1"/>
        <v>0.99885817968930035</v>
      </c>
      <c r="E30" cm="1">
        <f t="array" ref="E30">_xlfn.IFS(D30&gt;0.9,0,D30&lt;0.01,0)</f>
        <v>0</v>
      </c>
      <c r="N30">
        <v>8</v>
      </c>
      <c r="O30">
        <v>102.25</v>
      </c>
      <c r="P30">
        <f t="shared" si="3"/>
        <v>-14</v>
      </c>
      <c r="Q30">
        <f t="shared" si="4"/>
        <v>1.0029667631646451</v>
      </c>
      <c r="R30" cm="1">
        <f t="array" ref="R30">_xlfn.IFS(Q30&gt;0.9,0,Q30&lt;0.01,0)</f>
        <v>0</v>
      </c>
      <c r="AA30">
        <v>7</v>
      </c>
      <c r="AB30">
        <v>7</v>
      </c>
      <c r="AC30">
        <f t="shared" si="5"/>
        <v>-6</v>
      </c>
      <c r="AD30">
        <f t="shared" si="6"/>
        <v>1.0046610657152721</v>
      </c>
      <c r="AE30" cm="1">
        <f t="array" ref="AE30">_xlfn.IFS(AD30&gt;0.9,0,AD30&lt;0.01,0)</f>
        <v>0</v>
      </c>
      <c r="AN30">
        <v>8</v>
      </c>
      <c r="AO30">
        <v>102</v>
      </c>
      <c r="AP30">
        <f t="shared" si="7"/>
        <v>-1.5</v>
      </c>
      <c r="AQ30">
        <f t="shared" si="8"/>
        <v>1.0059379083856737</v>
      </c>
      <c r="AR30" cm="1">
        <f t="array" ref="AR30">_xlfn.IFS(AQ30&gt;0.9,0,AQ30&lt;0.01,0)</f>
        <v>0</v>
      </c>
      <c r="BA30">
        <v>8</v>
      </c>
      <c r="BB30">
        <v>100.25</v>
      </c>
      <c r="BC30">
        <f t="shared" si="9"/>
        <v>-9.75</v>
      </c>
      <c r="BD30">
        <f t="shared" si="10"/>
        <v>1.004219980412921</v>
      </c>
      <c r="BE30" cm="1">
        <f t="array" ref="BE30">_xlfn.IFS(BD30&gt;0.9,0,BD30&lt;0.01,0)</f>
        <v>0</v>
      </c>
      <c r="BN30">
        <v>8</v>
      </c>
      <c r="BO30">
        <v>6.75</v>
      </c>
      <c r="BP30">
        <f t="shared" si="11"/>
        <v>-7</v>
      </c>
      <c r="BQ30">
        <f t="shared" si="12"/>
        <v>0.99820453337002968</v>
      </c>
      <c r="BR30" cm="1">
        <f t="array" ref="BR30">_xlfn.IFS(BQ30&gt;0.9,0,BQ30&lt;0.01,0)</f>
        <v>0</v>
      </c>
      <c r="CA30">
        <v>8</v>
      </c>
      <c r="CB30">
        <v>92.5</v>
      </c>
      <c r="CC30">
        <f t="shared" si="13"/>
        <v>-15.25</v>
      </c>
      <c r="CD30">
        <f t="shared" si="14"/>
        <v>1.000836530073256</v>
      </c>
      <c r="CE30" cm="1">
        <f t="array" ref="CE30">_xlfn.IFS(CD30&gt;0.9,0,CD30&lt;0.01,0)</f>
        <v>0</v>
      </c>
      <c r="CN30">
        <v>8</v>
      </c>
      <c r="CO30">
        <v>6.5</v>
      </c>
      <c r="CP30">
        <f t="shared" si="15"/>
        <v>-6</v>
      </c>
      <c r="CQ30">
        <f t="shared" si="16"/>
        <v>0.99994847183452706</v>
      </c>
      <c r="CR30" cm="1">
        <f t="array" ref="CR30">_xlfn.IFS(CQ30&gt;0.9,0,CQ30&lt;0.01,0)</f>
        <v>0</v>
      </c>
      <c r="DA30">
        <v>8</v>
      </c>
      <c r="DB30">
        <v>9</v>
      </c>
      <c r="DC30">
        <f t="shared" si="17"/>
        <v>-6.75</v>
      </c>
      <c r="DD30">
        <f t="shared" si="18"/>
        <v>1.0005208011510587</v>
      </c>
      <c r="DE30" cm="1">
        <f t="array" ref="DE30">_xlfn.IFS(DD30&gt;0.9,0,DD30&lt;0.01,0)</f>
        <v>0</v>
      </c>
      <c r="DN30">
        <v>8</v>
      </c>
      <c r="DO30">
        <v>5.75</v>
      </c>
      <c r="DP30">
        <f t="shared" si="19"/>
        <v>-5.25</v>
      </c>
      <c r="DQ30">
        <f t="shared" si="20"/>
        <v>0.99946867893976155</v>
      </c>
      <c r="DR30" cm="1">
        <f t="array" ref="DR30">_xlfn.IFS(DQ30&gt;0.9,0,DQ30&lt;0.01,0)</f>
        <v>0</v>
      </c>
    </row>
    <row r="31" spans="1:122" x14ac:dyDescent="0.4">
      <c r="A31">
        <v>8.25</v>
      </c>
      <c r="B31">
        <v>4.75</v>
      </c>
      <c r="C31">
        <f t="shared" si="0"/>
        <v>-3.9499999999999993</v>
      </c>
      <c r="D31">
        <f t="shared" si="1"/>
        <v>0.99885817968930035</v>
      </c>
      <c r="E31" cm="1">
        <f t="array" ref="E31">_xlfn.IFS(D31&gt;0.9,0,D31&lt;0.01,0)</f>
        <v>0</v>
      </c>
      <c r="N31">
        <v>8.25</v>
      </c>
      <c r="O31">
        <v>101.75</v>
      </c>
      <c r="P31">
        <f t="shared" si="3"/>
        <v>-13.75</v>
      </c>
      <c r="Q31">
        <f t="shared" si="4"/>
        <v>0.99767818534940822</v>
      </c>
      <c r="R31" cm="1">
        <f t="array" ref="R31">_xlfn.IFS(Q31&gt;0.9,0,Q31&lt;0.01,0)</f>
        <v>0</v>
      </c>
      <c r="AA31">
        <v>7.25</v>
      </c>
      <c r="AB31">
        <v>7</v>
      </c>
      <c r="AC31">
        <f t="shared" si="5"/>
        <v>-5.75</v>
      </c>
      <c r="AD31">
        <f t="shared" si="6"/>
        <v>1.0046610657152721</v>
      </c>
      <c r="AE31" cm="1">
        <f t="array" ref="AE31">_xlfn.IFS(AD31&gt;0.9,0,AD31&lt;0.01,0)</f>
        <v>0</v>
      </c>
      <c r="AN31">
        <v>8.25</v>
      </c>
      <c r="AO31">
        <v>102</v>
      </c>
      <c r="AP31">
        <f t="shared" si="7"/>
        <v>-1.25</v>
      </c>
      <c r="AQ31">
        <f t="shared" si="8"/>
        <v>1.0059379083856737</v>
      </c>
      <c r="AR31" cm="1">
        <f t="array" ref="AR31">_xlfn.IFS(AQ31&gt;0.9,0,AQ31&lt;0.01,0)</f>
        <v>0</v>
      </c>
      <c r="BA31">
        <v>8.25</v>
      </c>
      <c r="BB31">
        <v>100.25</v>
      </c>
      <c r="BC31">
        <f t="shared" si="9"/>
        <v>-9.5</v>
      </c>
      <c r="BD31">
        <f t="shared" si="10"/>
        <v>1.004219980412921</v>
      </c>
      <c r="BE31" cm="1">
        <f t="array" ref="BE31">_xlfn.IFS(BD31&gt;0.9,0,BD31&lt;0.01,0)</f>
        <v>0</v>
      </c>
      <c r="BN31">
        <v>8.25</v>
      </c>
      <c r="BO31">
        <v>6.75</v>
      </c>
      <c r="BP31">
        <f t="shared" si="11"/>
        <v>-6.75</v>
      </c>
      <c r="BQ31">
        <f t="shared" si="12"/>
        <v>0.99820453337002968</v>
      </c>
      <c r="BR31" cm="1">
        <f t="array" ref="BR31">_xlfn.IFS(BQ31&gt;0.9,0,BQ31&lt;0.01,0)</f>
        <v>0</v>
      </c>
      <c r="CA31">
        <v>8.25</v>
      </c>
      <c r="CB31">
        <v>92.75</v>
      </c>
      <c r="CC31">
        <f t="shared" si="13"/>
        <v>-15</v>
      </c>
      <c r="CD31">
        <f t="shared" si="14"/>
        <v>1.0038145771340479</v>
      </c>
      <c r="CE31" cm="1">
        <f t="array" ref="CE31">_xlfn.IFS(CD31&gt;0.9,0,CD31&lt;0.01,0)</f>
        <v>0</v>
      </c>
      <c r="CN31">
        <v>8.25</v>
      </c>
      <c r="CO31">
        <v>6.5</v>
      </c>
      <c r="CP31">
        <f t="shared" si="15"/>
        <v>-5.75</v>
      </c>
      <c r="CQ31">
        <f t="shared" si="16"/>
        <v>0.99994847183452706</v>
      </c>
      <c r="CR31" cm="1">
        <f t="array" ref="CR31">_xlfn.IFS(CQ31&gt;0.9,0,CQ31&lt;0.01,0)</f>
        <v>0</v>
      </c>
      <c r="DA31">
        <v>8.25</v>
      </c>
      <c r="DB31">
        <v>9</v>
      </c>
      <c r="DC31">
        <f t="shared" si="17"/>
        <v>-6.5</v>
      </c>
      <c r="DD31">
        <f t="shared" si="18"/>
        <v>1.0005208011510587</v>
      </c>
      <c r="DE31" cm="1">
        <f t="array" ref="DE31">_xlfn.IFS(DD31&gt;0.9,0,DD31&lt;0.01,0)</f>
        <v>0</v>
      </c>
      <c r="DN31">
        <v>8.25</v>
      </c>
      <c r="DO31">
        <v>5.75</v>
      </c>
      <c r="DP31">
        <f t="shared" si="19"/>
        <v>-5</v>
      </c>
      <c r="DQ31">
        <f t="shared" si="20"/>
        <v>0.99946867893976155</v>
      </c>
      <c r="DR31" cm="1">
        <f t="array" ref="DR31">_xlfn.IFS(DQ31&gt;0.9,0,DQ31&lt;0.01,0)</f>
        <v>0</v>
      </c>
    </row>
    <row r="32" spans="1:122" x14ac:dyDescent="0.4">
      <c r="A32">
        <v>8.5</v>
      </c>
      <c r="B32">
        <v>4.75</v>
      </c>
      <c r="C32">
        <f t="shared" si="0"/>
        <v>-3.6999999999999993</v>
      </c>
      <c r="D32">
        <f t="shared" si="1"/>
        <v>0.99885817968930035</v>
      </c>
      <c r="E32" cm="1">
        <f t="array" ref="E32">_xlfn.IFS(D32&gt;0.9,0,D32&lt;0.01,0)</f>
        <v>0</v>
      </c>
      <c r="N32">
        <v>8.5</v>
      </c>
      <c r="O32">
        <v>102.5</v>
      </c>
      <c r="P32">
        <f t="shared" si="3"/>
        <v>-13.5</v>
      </c>
      <c r="Q32">
        <f t="shared" si="4"/>
        <v>1.0056110520722636</v>
      </c>
      <c r="R32" cm="1">
        <f t="array" ref="R32">_xlfn.IFS(Q32&gt;0.9,0,Q32&lt;0.01,0)</f>
        <v>0</v>
      </c>
      <c r="AA32">
        <v>7.5</v>
      </c>
      <c r="AB32">
        <v>7</v>
      </c>
      <c r="AC32">
        <f t="shared" si="5"/>
        <v>-5.5</v>
      </c>
      <c r="AD32">
        <f t="shared" si="6"/>
        <v>1.0046610657152721</v>
      </c>
      <c r="AE32" cm="1">
        <f t="array" ref="AE32">_xlfn.IFS(AD32&gt;0.9,0,AD32&lt;0.01,0)</f>
        <v>0</v>
      </c>
      <c r="AN32">
        <v>8.5</v>
      </c>
      <c r="AO32">
        <v>102</v>
      </c>
      <c r="AP32">
        <f t="shared" si="7"/>
        <v>-1</v>
      </c>
      <c r="AQ32">
        <f t="shared" si="8"/>
        <v>1.0059379083856737</v>
      </c>
      <c r="AR32" cm="1">
        <f t="array" ref="AR32">_xlfn.IFS(AQ32&gt;0.9,0,AQ32&lt;0.01,0)</f>
        <v>0</v>
      </c>
      <c r="BA32">
        <v>8.5</v>
      </c>
      <c r="BB32">
        <v>100.25</v>
      </c>
      <c r="BC32">
        <f t="shared" si="9"/>
        <v>-9.25</v>
      </c>
      <c r="BD32">
        <f t="shared" si="10"/>
        <v>1.004219980412921</v>
      </c>
      <c r="BE32" cm="1">
        <f t="array" ref="BE32">_xlfn.IFS(BD32&gt;0.9,0,BD32&lt;0.01,0)</f>
        <v>0</v>
      </c>
      <c r="BN32">
        <v>8.5</v>
      </c>
      <c r="BO32">
        <v>6.5</v>
      </c>
      <c r="BP32">
        <f t="shared" si="11"/>
        <v>-6.5</v>
      </c>
      <c r="BQ32">
        <f t="shared" si="12"/>
        <v>1.0011798780711232</v>
      </c>
      <c r="BR32" cm="1">
        <f t="array" ref="BR32">_xlfn.IFS(BQ32&gt;0.9,0,BQ32&lt;0.01,0)</f>
        <v>0</v>
      </c>
      <c r="CA32">
        <v>8.5</v>
      </c>
      <c r="CB32">
        <v>92.75</v>
      </c>
      <c r="CC32">
        <f t="shared" si="13"/>
        <v>-14.75</v>
      </c>
      <c r="CD32">
        <f t="shared" si="14"/>
        <v>1.0038145771340479</v>
      </c>
      <c r="CE32" cm="1">
        <f t="array" ref="CE32">_xlfn.IFS(CD32&gt;0.9,0,CD32&lt;0.01,0)</f>
        <v>0</v>
      </c>
      <c r="CN32">
        <v>8.5</v>
      </c>
      <c r="CO32">
        <v>6.5</v>
      </c>
      <c r="CP32">
        <f t="shared" si="15"/>
        <v>-5.5</v>
      </c>
      <c r="CQ32">
        <f t="shared" si="16"/>
        <v>0.99994847183452706</v>
      </c>
      <c r="CR32" cm="1">
        <f t="array" ref="CR32">_xlfn.IFS(CQ32&gt;0.9,0,CQ32&lt;0.01,0)</f>
        <v>0</v>
      </c>
      <c r="DA32">
        <v>8.5</v>
      </c>
      <c r="DB32">
        <v>9</v>
      </c>
      <c r="DC32">
        <f t="shared" si="17"/>
        <v>-6.25</v>
      </c>
      <c r="DD32">
        <f t="shared" si="18"/>
        <v>1.0005208011510587</v>
      </c>
      <c r="DE32" cm="1">
        <f t="array" ref="DE32">_xlfn.IFS(DD32&gt;0.9,0,DD32&lt;0.01,0)</f>
        <v>0</v>
      </c>
      <c r="DN32">
        <v>8.5</v>
      </c>
      <c r="DO32">
        <v>5.75</v>
      </c>
      <c r="DP32">
        <f t="shared" si="19"/>
        <v>-4.75</v>
      </c>
      <c r="DQ32">
        <f t="shared" si="20"/>
        <v>0.99946867893976155</v>
      </c>
      <c r="DR32" cm="1">
        <f t="array" ref="DR32">_xlfn.IFS(DQ32&gt;0.9,0,DQ32&lt;0.01,0)</f>
        <v>0</v>
      </c>
    </row>
    <row r="33" spans="1:122" x14ac:dyDescent="0.4">
      <c r="A33">
        <v>8.75</v>
      </c>
      <c r="B33">
        <v>4.75</v>
      </c>
      <c r="C33">
        <f t="shared" si="0"/>
        <v>-3.4499999999999993</v>
      </c>
      <c r="D33">
        <f t="shared" si="1"/>
        <v>0.99885817968930035</v>
      </c>
      <c r="E33" cm="1">
        <f t="array" ref="E33">_xlfn.IFS(D33&gt;0.9,0,D33&lt;0.01,0)</f>
        <v>0</v>
      </c>
      <c r="N33">
        <v>8.75</v>
      </c>
      <c r="O33">
        <v>102.5</v>
      </c>
      <c r="P33">
        <f t="shared" si="3"/>
        <v>-13.25</v>
      </c>
      <c r="Q33">
        <f t="shared" si="4"/>
        <v>1.0056110520722636</v>
      </c>
      <c r="R33" cm="1">
        <f t="array" ref="R33">_xlfn.IFS(Q33&gt;0.9,0,Q33&lt;0.01,0)</f>
        <v>0</v>
      </c>
      <c r="AA33">
        <v>7.75</v>
      </c>
      <c r="AB33">
        <v>7</v>
      </c>
      <c r="AC33">
        <f t="shared" si="5"/>
        <v>-5.25</v>
      </c>
      <c r="AD33">
        <f t="shared" si="6"/>
        <v>1.0046610657152721</v>
      </c>
      <c r="AE33" cm="1">
        <f t="array" ref="AE33">_xlfn.IFS(AD33&gt;0.9,0,AD33&lt;0.01,0)</f>
        <v>0</v>
      </c>
      <c r="AN33">
        <v>8.75</v>
      </c>
      <c r="AO33">
        <v>102</v>
      </c>
      <c r="AP33">
        <f t="shared" si="7"/>
        <v>-0.75</v>
      </c>
      <c r="AQ33">
        <f t="shared" si="8"/>
        <v>1.0059379083856737</v>
      </c>
      <c r="AR33" cm="1">
        <f t="array" ref="AR33">_xlfn.IFS(AQ33&gt;0.9,0,AQ33&lt;0.01,0)</f>
        <v>0</v>
      </c>
      <c r="BA33">
        <v>8.75</v>
      </c>
      <c r="BB33">
        <v>100.25</v>
      </c>
      <c r="BC33">
        <f t="shared" si="9"/>
        <v>-9</v>
      </c>
      <c r="BD33">
        <f t="shared" si="10"/>
        <v>1.004219980412921</v>
      </c>
      <c r="BE33" cm="1">
        <f t="array" ref="BE33">_xlfn.IFS(BD33&gt;0.9,0,BD33&lt;0.01,0)</f>
        <v>0</v>
      </c>
      <c r="BN33">
        <v>8.75</v>
      </c>
      <c r="BO33">
        <v>6.75</v>
      </c>
      <c r="BP33">
        <f t="shared" si="11"/>
        <v>-6.25</v>
      </c>
      <c r="BQ33">
        <f t="shared" si="12"/>
        <v>0.99820453337002968</v>
      </c>
      <c r="BR33" cm="1">
        <f t="array" ref="BR33">_xlfn.IFS(BQ33&gt;0.9,0,BQ33&lt;0.01,0)</f>
        <v>0</v>
      </c>
      <c r="CA33">
        <v>8.75</v>
      </c>
      <c r="CB33">
        <v>92.75</v>
      </c>
      <c r="CC33">
        <f t="shared" si="13"/>
        <v>-14.5</v>
      </c>
      <c r="CD33">
        <f t="shared" si="14"/>
        <v>1.0038145771340479</v>
      </c>
      <c r="CE33" cm="1">
        <f t="array" ref="CE33">_xlfn.IFS(CD33&gt;0.9,0,CD33&lt;0.01,0)</f>
        <v>0</v>
      </c>
      <c r="CN33">
        <v>8.75</v>
      </c>
      <c r="CO33">
        <v>6.5</v>
      </c>
      <c r="CP33">
        <f t="shared" si="15"/>
        <v>-5.25</v>
      </c>
      <c r="CQ33">
        <f t="shared" si="16"/>
        <v>0.99994847183452706</v>
      </c>
      <c r="CR33" cm="1">
        <f t="array" ref="CR33">_xlfn.IFS(CQ33&gt;0.9,0,CQ33&lt;0.01,0)</f>
        <v>0</v>
      </c>
      <c r="DA33">
        <v>8.75</v>
      </c>
      <c r="DB33">
        <v>9</v>
      </c>
      <c r="DC33">
        <f t="shared" si="17"/>
        <v>-6</v>
      </c>
      <c r="DD33">
        <f t="shared" si="18"/>
        <v>1.0005208011510587</v>
      </c>
      <c r="DE33" cm="1">
        <f t="array" ref="DE33">_xlfn.IFS(DD33&gt;0.9,0,DD33&lt;0.01,0)</f>
        <v>0</v>
      </c>
      <c r="DN33">
        <v>8.75</v>
      </c>
      <c r="DO33">
        <v>5.75</v>
      </c>
      <c r="DP33">
        <f t="shared" si="19"/>
        <v>-4.5</v>
      </c>
      <c r="DQ33">
        <f t="shared" si="20"/>
        <v>0.99946867893976155</v>
      </c>
      <c r="DR33" cm="1">
        <f t="array" ref="DR33">_xlfn.IFS(DQ33&gt;0.9,0,DQ33&lt;0.01,0)</f>
        <v>0</v>
      </c>
    </row>
    <row r="34" spans="1:122" x14ac:dyDescent="0.4">
      <c r="A34">
        <v>9</v>
      </c>
      <c r="B34">
        <v>5</v>
      </c>
      <c r="C34">
        <f t="shared" si="0"/>
        <v>-3.1999999999999993</v>
      </c>
      <c r="D34">
        <f t="shared" si="1"/>
        <v>0.99623199297469112</v>
      </c>
      <c r="E34" cm="1">
        <f t="array" ref="E34">_xlfn.IFS(D34&gt;0.9,0,D34&lt;0.01,0)</f>
        <v>0</v>
      </c>
      <c r="N34">
        <v>9</v>
      </c>
      <c r="O34">
        <f>O24</f>
        <v>101.75</v>
      </c>
      <c r="P34">
        <f t="shared" si="3"/>
        <v>-13</v>
      </c>
      <c r="Q34">
        <f t="shared" si="4"/>
        <v>0.99767818534940822</v>
      </c>
      <c r="R34" cm="1">
        <f t="array" ref="R34">_xlfn.IFS(Q34&gt;0.9,0,Q34&lt;0.01,0)</f>
        <v>0</v>
      </c>
      <c r="AA34">
        <v>8</v>
      </c>
      <c r="AB34">
        <v>7</v>
      </c>
      <c r="AC34">
        <f t="shared" si="5"/>
        <v>-5</v>
      </c>
      <c r="AD34">
        <f t="shared" si="6"/>
        <v>1.0046610657152721</v>
      </c>
      <c r="AE34" cm="1">
        <f t="array" ref="AE34">_xlfn.IFS(AD34&gt;0.9,0,AD34&lt;0.01,0)</f>
        <v>0</v>
      </c>
      <c r="AN34">
        <v>9</v>
      </c>
      <c r="AO34">
        <v>102</v>
      </c>
      <c r="AP34">
        <f t="shared" si="7"/>
        <v>-0.5</v>
      </c>
      <c r="AQ34">
        <f t="shared" si="8"/>
        <v>1.0059379083856737</v>
      </c>
      <c r="AR34" cm="1">
        <f t="array" ref="AR34">_xlfn.IFS(AQ34&gt;0.9,0,AQ34&lt;0.01,0)</f>
        <v>0</v>
      </c>
      <c r="BA34">
        <v>9</v>
      </c>
      <c r="BB34">
        <v>100.25</v>
      </c>
      <c r="BC34">
        <f t="shared" si="9"/>
        <v>-8.75</v>
      </c>
      <c r="BD34">
        <f t="shared" si="10"/>
        <v>1.004219980412921</v>
      </c>
      <c r="BE34" cm="1">
        <f t="array" ref="BE34">_xlfn.IFS(BD34&gt;0.9,0,BD34&lt;0.01,0)</f>
        <v>0</v>
      </c>
      <c r="BN34">
        <v>9</v>
      </c>
      <c r="BO34">
        <v>6.5</v>
      </c>
      <c r="BP34">
        <f t="shared" si="11"/>
        <v>-6</v>
      </c>
      <c r="BQ34">
        <f t="shared" si="12"/>
        <v>1.0011798780711232</v>
      </c>
      <c r="BR34" cm="1">
        <f t="array" ref="BR34">_xlfn.IFS(BQ34&gt;0.9,0,BQ34&lt;0.01,0)</f>
        <v>0</v>
      </c>
      <c r="CA34">
        <v>9</v>
      </c>
      <c r="CB34">
        <v>92.75</v>
      </c>
      <c r="CC34">
        <f t="shared" si="13"/>
        <v>-14.25</v>
      </c>
      <c r="CD34">
        <f t="shared" si="14"/>
        <v>1.0038145771340479</v>
      </c>
      <c r="CE34" cm="1">
        <f t="array" ref="CE34">_xlfn.IFS(CD34&gt;0.9,0,CD34&lt;0.01,0)</f>
        <v>0</v>
      </c>
      <c r="CN34">
        <v>9</v>
      </c>
      <c r="CO34">
        <v>6.5</v>
      </c>
      <c r="CP34">
        <f t="shared" si="15"/>
        <v>-5</v>
      </c>
      <c r="CQ34">
        <f t="shared" si="16"/>
        <v>0.99994847183452706</v>
      </c>
      <c r="CR34" cm="1">
        <f t="array" ref="CR34">_xlfn.IFS(CQ34&gt;0.9,0,CQ34&lt;0.01,0)</f>
        <v>0</v>
      </c>
      <c r="DA34">
        <v>9</v>
      </c>
      <c r="DB34">
        <v>8.75</v>
      </c>
      <c r="DC34">
        <f t="shared" si="17"/>
        <v>-5.75</v>
      </c>
      <c r="DD34">
        <f t="shared" si="18"/>
        <v>1.0033331273667763</v>
      </c>
      <c r="DE34" cm="1">
        <f t="array" ref="DE34">_xlfn.IFS(DD34&gt;0.9,0,DD34&lt;0.01,0)</f>
        <v>0</v>
      </c>
      <c r="DN34">
        <v>9</v>
      </c>
      <c r="DO34">
        <v>5.75</v>
      </c>
      <c r="DP34">
        <f t="shared" si="19"/>
        <v>-4.25</v>
      </c>
      <c r="DQ34">
        <f t="shared" si="20"/>
        <v>0.99946867893976155</v>
      </c>
      <c r="DR34" cm="1">
        <f t="array" ref="DR34">_xlfn.IFS(DQ34&gt;0.9,0,DQ34&lt;0.01,0)</f>
        <v>0</v>
      </c>
    </row>
    <row r="35" spans="1:122" x14ac:dyDescent="0.4">
      <c r="A35">
        <v>9.25</v>
      </c>
      <c r="B35">
        <v>5</v>
      </c>
      <c r="C35">
        <f t="shared" si="0"/>
        <v>-2.9499999999999993</v>
      </c>
      <c r="D35">
        <f t="shared" si="1"/>
        <v>0.99623199297469112</v>
      </c>
      <c r="E35" cm="1">
        <f t="array" ref="E35">_xlfn.IFS(D35&gt;0.9,0,D35&lt;0.01,0)</f>
        <v>0</v>
      </c>
      <c r="N35">
        <v>9.25</v>
      </c>
      <c r="O35">
        <f t="shared" ref="O35:O45" si="21">O25</f>
        <v>102</v>
      </c>
      <c r="P35">
        <f t="shared" si="3"/>
        <v>-12.75</v>
      </c>
      <c r="Q35">
        <f t="shared" si="4"/>
        <v>1.0003224742570267</v>
      </c>
      <c r="R35" cm="1">
        <f t="array" ref="R35">_xlfn.IFS(Q35&gt;0.9,0,Q35&lt;0.01,0)</f>
        <v>0</v>
      </c>
      <c r="AA35">
        <v>8.25</v>
      </c>
      <c r="AB35">
        <v>7</v>
      </c>
      <c r="AC35">
        <f t="shared" si="5"/>
        <v>-4.75</v>
      </c>
      <c r="AD35">
        <f t="shared" si="6"/>
        <v>1.0046610657152721</v>
      </c>
      <c r="AE35" cm="1">
        <f t="array" ref="AE35">_xlfn.IFS(AD35&gt;0.9,0,AD35&lt;0.01,0)</f>
        <v>0</v>
      </c>
      <c r="AN35">
        <v>9.25</v>
      </c>
      <c r="AO35">
        <v>101.25</v>
      </c>
      <c r="AP35">
        <f t="shared" si="7"/>
        <v>-0.25</v>
      </c>
      <c r="AQ35">
        <f t="shared" si="8"/>
        <v>0.99588177321638771</v>
      </c>
      <c r="AR35" cm="1">
        <f t="array" ref="AR35">_xlfn.IFS(AQ35&gt;0.9,0,AQ35&lt;0.01,0)</f>
        <v>0</v>
      </c>
      <c r="BA35">
        <v>9.25</v>
      </c>
      <c r="BB35">
        <v>100.25</v>
      </c>
      <c r="BC35">
        <f t="shared" si="9"/>
        <v>-8.5</v>
      </c>
      <c r="BD35">
        <f t="shared" si="10"/>
        <v>1.004219980412921</v>
      </c>
      <c r="BE35" cm="1">
        <f t="array" ref="BE35">_xlfn.IFS(BD35&gt;0.9,0,BD35&lt;0.01,0)</f>
        <v>0</v>
      </c>
      <c r="BN35">
        <v>9.25</v>
      </c>
      <c r="BO35">
        <v>6.75</v>
      </c>
      <c r="BP35">
        <f t="shared" si="11"/>
        <v>-5.75</v>
      </c>
      <c r="BQ35">
        <f t="shared" si="12"/>
        <v>0.99820453337002968</v>
      </c>
      <c r="BR35" cm="1">
        <f t="array" ref="BR35">_xlfn.IFS(BQ35&gt;0.9,0,BQ35&lt;0.01,0)</f>
        <v>0</v>
      </c>
      <c r="CA35">
        <v>9.25</v>
      </c>
      <c r="CB35">
        <v>93</v>
      </c>
      <c r="CC35">
        <f t="shared" si="13"/>
        <v>-14</v>
      </c>
      <c r="CD35">
        <f t="shared" si="14"/>
        <v>1.0067926241948397</v>
      </c>
      <c r="CE35" cm="1">
        <f t="array" ref="CE35">_xlfn.IFS(CD35&gt;0.9,0,CD35&lt;0.01,0)</f>
        <v>0</v>
      </c>
      <c r="CN35">
        <v>9.25</v>
      </c>
      <c r="CO35">
        <v>6.5</v>
      </c>
      <c r="CP35">
        <f t="shared" si="15"/>
        <v>-4.75</v>
      </c>
      <c r="CQ35">
        <f t="shared" si="16"/>
        <v>0.99994847183452706</v>
      </c>
      <c r="CR35" cm="1">
        <f t="array" ref="CR35">_xlfn.IFS(CQ35&gt;0.9,0,CQ35&lt;0.01,0)</f>
        <v>0</v>
      </c>
      <c r="DA35">
        <v>9.25</v>
      </c>
      <c r="DB35">
        <v>8.75</v>
      </c>
      <c r="DC35">
        <f t="shared" si="17"/>
        <v>-5.5</v>
      </c>
      <c r="DD35">
        <f t="shared" si="18"/>
        <v>1.0033331273667763</v>
      </c>
      <c r="DE35" cm="1">
        <f t="array" ref="DE35">_xlfn.IFS(DD35&gt;0.9,0,DD35&lt;0.01,0)</f>
        <v>0</v>
      </c>
      <c r="DN35">
        <v>9.25</v>
      </c>
      <c r="DO35">
        <v>5.75</v>
      </c>
      <c r="DP35">
        <f t="shared" si="19"/>
        <v>-4</v>
      </c>
      <c r="DQ35">
        <f t="shared" si="20"/>
        <v>0.99946867893976155</v>
      </c>
      <c r="DR35" cm="1">
        <f t="array" ref="DR35">_xlfn.IFS(DQ35&gt;0.9,0,DQ35&lt;0.01,0)</f>
        <v>0</v>
      </c>
    </row>
    <row r="36" spans="1:122" x14ac:dyDescent="0.4">
      <c r="A36">
        <v>9.5</v>
      </c>
      <c r="B36">
        <v>5</v>
      </c>
      <c r="C36">
        <f t="shared" si="0"/>
        <v>-2.6999999999999993</v>
      </c>
      <c r="D36">
        <f t="shared" si="1"/>
        <v>0.99623199297469112</v>
      </c>
      <c r="E36" cm="1">
        <f t="array" ref="E36">_xlfn.IFS(D36&gt;0.9,0,D36&lt;0.01,0)</f>
        <v>0</v>
      </c>
      <c r="N36">
        <v>9.5</v>
      </c>
      <c r="O36">
        <f t="shared" si="21"/>
        <v>102.5</v>
      </c>
      <c r="P36">
        <f t="shared" si="3"/>
        <v>-12.5</v>
      </c>
      <c r="Q36">
        <f t="shared" si="4"/>
        <v>1.0056110520722636</v>
      </c>
      <c r="R36" cm="1">
        <f t="array" ref="R36">_xlfn.IFS(Q36&gt;0.9,0,Q36&lt;0.01,0)</f>
        <v>0</v>
      </c>
      <c r="AA36">
        <v>8.5</v>
      </c>
      <c r="AB36">
        <v>7</v>
      </c>
      <c r="AC36">
        <f t="shared" si="5"/>
        <v>-4.5</v>
      </c>
      <c r="AD36">
        <f t="shared" si="6"/>
        <v>1.0046610657152721</v>
      </c>
      <c r="AE36" cm="1">
        <f t="array" ref="AE36">_xlfn.IFS(AD36&gt;0.9,0,AD36&lt;0.01,0)</f>
        <v>0</v>
      </c>
      <c r="AN36">
        <v>9.5</v>
      </c>
      <c r="AO36">
        <v>99.75</v>
      </c>
      <c r="AP36">
        <f t="shared" si="7"/>
        <v>0</v>
      </c>
      <c r="AQ36">
        <f t="shared" si="8"/>
        <v>0.97576950287781572</v>
      </c>
      <c r="AR36" cm="1">
        <f t="array" ref="AR36">_xlfn.IFS(AQ36&gt;0.9,0,AQ36&lt;0.01,0)</f>
        <v>0</v>
      </c>
      <c r="BA36">
        <v>9.5</v>
      </c>
      <c r="BB36">
        <v>100.25</v>
      </c>
      <c r="BC36">
        <f t="shared" si="9"/>
        <v>-8.25</v>
      </c>
      <c r="BD36">
        <f t="shared" si="10"/>
        <v>1.004219980412921</v>
      </c>
      <c r="BE36" cm="1">
        <f t="array" ref="BE36">_xlfn.IFS(BD36&gt;0.9,0,BD36&lt;0.01,0)</f>
        <v>0</v>
      </c>
      <c r="BN36">
        <v>9.5</v>
      </c>
      <c r="BO36">
        <v>6.5</v>
      </c>
      <c r="BP36">
        <f t="shared" si="11"/>
        <v>-5.5</v>
      </c>
      <c r="BQ36">
        <f t="shared" si="12"/>
        <v>1.0011798780711232</v>
      </c>
      <c r="BR36" cm="1">
        <f t="array" ref="BR36">_xlfn.IFS(BQ36&gt;0.9,0,BQ36&lt;0.01,0)</f>
        <v>0</v>
      </c>
      <c r="CA36">
        <v>9.5</v>
      </c>
      <c r="CB36">
        <v>93</v>
      </c>
      <c r="CC36">
        <f t="shared" si="13"/>
        <v>-13.75</v>
      </c>
      <c r="CD36">
        <f t="shared" si="14"/>
        <v>1.0067926241948397</v>
      </c>
      <c r="CE36" cm="1">
        <f t="array" ref="CE36">_xlfn.IFS(CD36&gt;0.9,0,CD36&lt;0.01,0)</f>
        <v>0</v>
      </c>
      <c r="CN36">
        <v>9.5</v>
      </c>
      <c r="CO36">
        <v>6.5</v>
      </c>
      <c r="CP36">
        <f t="shared" si="15"/>
        <v>-4.5</v>
      </c>
      <c r="CQ36">
        <f t="shared" si="16"/>
        <v>0.99994847183452706</v>
      </c>
      <c r="CR36" cm="1">
        <f t="array" ref="CR36">_xlfn.IFS(CQ36&gt;0.9,0,CQ36&lt;0.01,0)</f>
        <v>0</v>
      </c>
      <c r="DA36">
        <v>9.5</v>
      </c>
      <c r="DB36">
        <v>8.75</v>
      </c>
      <c r="DC36">
        <f t="shared" si="17"/>
        <v>-5.25</v>
      </c>
      <c r="DD36">
        <f t="shared" si="18"/>
        <v>1.0033331273667763</v>
      </c>
      <c r="DE36" cm="1">
        <f t="array" ref="DE36">_xlfn.IFS(DD36&gt;0.9,0,DD36&lt;0.01,0)</f>
        <v>0</v>
      </c>
      <c r="DN36">
        <v>9.5</v>
      </c>
      <c r="DO36">
        <v>5.75</v>
      </c>
      <c r="DP36">
        <f t="shared" si="19"/>
        <v>-3.75</v>
      </c>
      <c r="DQ36">
        <f t="shared" si="20"/>
        <v>0.99946867893976155</v>
      </c>
      <c r="DR36" cm="1">
        <f t="array" ref="DR36">_xlfn.IFS(DQ36&gt;0.9,0,DQ36&lt;0.01,0)</f>
        <v>0</v>
      </c>
    </row>
    <row r="37" spans="1:122" x14ac:dyDescent="0.4">
      <c r="A37">
        <v>9.75</v>
      </c>
      <c r="B37">
        <v>5</v>
      </c>
      <c r="C37">
        <f t="shared" si="0"/>
        <v>-2.4499999999999993</v>
      </c>
      <c r="D37">
        <f t="shared" si="1"/>
        <v>0.99623199297469112</v>
      </c>
      <c r="E37" cm="1">
        <f t="array" ref="E37">_xlfn.IFS(D37&gt;0.9,0,D37&lt;0.01,0)</f>
        <v>0</v>
      </c>
      <c r="N37">
        <v>9.75</v>
      </c>
      <c r="O37">
        <f t="shared" si="21"/>
        <v>102</v>
      </c>
      <c r="P37">
        <f t="shared" si="3"/>
        <v>-12.25</v>
      </c>
      <c r="Q37">
        <f t="shared" si="4"/>
        <v>1.0003224742570267</v>
      </c>
      <c r="R37" cm="1">
        <f t="array" ref="R37">_xlfn.IFS(Q37&gt;0.9,0,Q37&lt;0.01,0)</f>
        <v>0</v>
      </c>
      <c r="AA37">
        <v>8.75</v>
      </c>
      <c r="AB37">
        <v>7</v>
      </c>
      <c r="AC37">
        <f t="shared" si="5"/>
        <v>-4.25</v>
      </c>
      <c r="AD37">
        <f t="shared" si="6"/>
        <v>1.0046610657152721</v>
      </c>
      <c r="AE37" cm="1">
        <f t="array" ref="AE37">_xlfn.IFS(AD37&gt;0.9,0,AD37&lt;0.01,0)</f>
        <v>0</v>
      </c>
      <c r="AN37">
        <v>9.75</v>
      </c>
      <c r="AO37">
        <v>96.75</v>
      </c>
      <c r="AP37">
        <f t="shared" si="7"/>
        <v>0.25</v>
      </c>
      <c r="AQ37">
        <f t="shared" si="8"/>
        <v>0.93554496220067174</v>
      </c>
      <c r="AR37" cm="1">
        <f t="array" ref="AR37">_xlfn.IFS(AQ37&gt;0.9,0,AQ37&lt;0.01,0)</f>
        <v>0</v>
      </c>
      <c r="BA37">
        <v>9.75</v>
      </c>
      <c r="BB37">
        <v>100.25</v>
      </c>
      <c r="BC37">
        <f t="shared" si="9"/>
        <v>-8</v>
      </c>
      <c r="BD37">
        <f t="shared" si="10"/>
        <v>1.004219980412921</v>
      </c>
      <c r="BE37" cm="1">
        <f t="array" ref="BE37">_xlfn.IFS(BD37&gt;0.9,0,BD37&lt;0.01,0)</f>
        <v>0</v>
      </c>
      <c r="BN37">
        <v>9.75</v>
      </c>
      <c r="BO37">
        <v>6.5</v>
      </c>
      <c r="BP37">
        <f t="shared" si="11"/>
        <v>-5.25</v>
      </c>
      <c r="BQ37">
        <f t="shared" si="12"/>
        <v>1.0011798780711232</v>
      </c>
      <c r="BR37" cm="1">
        <f t="array" ref="BR37">_xlfn.IFS(BQ37&gt;0.9,0,BQ37&lt;0.01,0)</f>
        <v>0</v>
      </c>
      <c r="CA37">
        <v>9.75</v>
      </c>
      <c r="CB37">
        <v>93</v>
      </c>
      <c r="CC37">
        <f t="shared" si="13"/>
        <v>-13.5</v>
      </c>
      <c r="CD37">
        <f t="shared" si="14"/>
        <v>1.0067926241948397</v>
      </c>
      <c r="CE37" cm="1">
        <f t="array" ref="CE37">_xlfn.IFS(CD37&gt;0.9,0,CD37&lt;0.01,0)</f>
        <v>0</v>
      </c>
      <c r="CN37">
        <v>9.75</v>
      </c>
      <c r="CO37">
        <v>6.5</v>
      </c>
      <c r="CP37">
        <f t="shared" si="15"/>
        <v>-4.25</v>
      </c>
      <c r="CQ37">
        <f t="shared" si="16"/>
        <v>0.99994847183452706</v>
      </c>
      <c r="CR37" cm="1">
        <f t="array" ref="CR37">_xlfn.IFS(CQ37&gt;0.9,0,CQ37&lt;0.01,0)</f>
        <v>0</v>
      </c>
      <c r="DA37">
        <v>9.75</v>
      </c>
      <c r="DB37">
        <v>8.75</v>
      </c>
      <c r="DC37">
        <f t="shared" si="17"/>
        <v>-5</v>
      </c>
      <c r="DD37">
        <f t="shared" si="18"/>
        <v>1.0033331273667763</v>
      </c>
      <c r="DE37" cm="1">
        <f t="array" ref="DE37">_xlfn.IFS(DD37&gt;0.9,0,DD37&lt;0.01,0)</f>
        <v>0</v>
      </c>
      <c r="DN37">
        <v>9.75</v>
      </c>
      <c r="DO37">
        <v>5.75</v>
      </c>
      <c r="DP37">
        <f t="shared" si="19"/>
        <v>-3.5</v>
      </c>
      <c r="DQ37">
        <f t="shared" si="20"/>
        <v>0.99946867893976155</v>
      </c>
      <c r="DR37" cm="1">
        <f t="array" ref="DR37">_xlfn.IFS(DQ37&gt;0.9,0,DQ37&lt;0.01,0)</f>
        <v>0</v>
      </c>
    </row>
    <row r="38" spans="1:122" x14ac:dyDescent="0.4">
      <c r="A38">
        <v>10</v>
      </c>
      <c r="B38">
        <v>5</v>
      </c>
      <c r="C38">
        <f t="shared" si="0"/>
        <v>-2.1999999999999993</v>
      </c>
      <c r="D38">
        <f t="shared" si="1"/>
        <v>0.99623199297469112</v>
      </c>
      <c r="E38" cm="1">
        <f t="array" ref="E38">_xlfn.IFS(D38&gt;0.9,0,D38&lt;0.01,0)</f>
        <v>0</v>
      </c>
      <c r="N38">
        <v>10</v>
      </c>
      <c r="O38">
        <f t="shared" si="21"/>
        <v>102</v>
      </c>
      <c r="P38">
        <f t="shared" si="3"/>
        <v>-12</v>
      </c>
      <c r="Q38">
        <f t="shared" si="4"/>
        <v>1.0003224742570267</v>
      </c>
      <c r="R38" cm="1">
        <f t="array" ref="R38">_xlfn.IFS(Q38&gt;0.9,0,Q38&lt;0.01,0)</f>
        <v>0</v>
      </c>
      <c r="AA38">
        <v>9</v>
      </c>
      <c r="AB38">
        <v>7</v>
      </c>
      <c r="AC38">
        <f t="shared" si="5"/>
        <v>-4</v>
      </c>
      <c r="AD38">
        <f t="shared" si="6"/>
        <v>1.0046610657152721</v>
      </c>
      <c r="AE38" cm="1">
        <f t="array" ref="AE38">_xlfn.IFS(AD38&gt;0.9,0,AD38&lt;0.01,0)</f>
        <v>0</v>
      </c>
      <c r="AN38">
        <v>10</v>
      </c>
      <c r="AO38">
        <v>94.5</v>
      </c>
      <c r="AP38">
        <f t="shared" si="7"/>
        <v>0.5</v>
      </c>
      <c r="AQ38">
        <f t="shared" si="8"/>
        <v>0.90537655669281369</v>
      </c>
      <c r="AR38" cm="1">
        <f t="array" ref="AR38">_xlfn.IFS(AQ38&gt;0.9,0,AQ38&lt;0.01,0)</f>
        <v>0</v>
      </c>
      <c r="BA38">
        <v>10</v>
      </c>
      <c r="BB38">
        <v>100.25</v>
      </c>
      <c r="BC38">
        <f t="shared" si="9"/>
        <v>-7.75</v>
      </c>
      <c r="BD38">
        <f t="shared" si="10"/>
        <v>1.004219980412921</v>
      </c>
      <c r="BE38" cm="1">
        <f t="array" ref="BE38">_xlfn.IFS(BD38&gt;0.9,0,BD38&lt;0.01,0)</f>
        <v>0</v>
      </c>
      <c r="BN38">
        <v>10</v>
      </c>
      <c r="BO38">
        <v>6.75</v>
      </c>
      <c r="BP38">
        <f t="shared" si="11"/>
        <v>-5</v>
      </c>
      <c r="BQ38">
        <f t="shared" si="12"/>
        <v>0.99820453337002968</v>
      </c>
      <c r="BR38" cm="1">
        <f t="array" ref="BR38">_xlfn.IFS(BQ38&gt;0.9,0,BQ38&lt;0.01,0)</f>
        <v>0</v>
      </c>
      <c r="CA38">
        <v>10</v>
      </c>
      <c r="CB38">
        <v>93.25</v>
      </c>
      <c r="CC38">
        <f t="shared" si="13"/>
        <v>-13.25</v>
      </c>
      <c r="CD38">
        <f t="shared" si="14"/>
        <v>1.0097706712556316</v>
      </c>
      <c r="CE38" cm="1">
        <f t="array" ref="CE38">_xlfn.IFS(CD38&gt;0.9,0,CD38&lt;0.01,0)</f>
        <v>0</v>
      </c>
      <c r="CN38">
        <v>10</v>
      </c>
      <c r="CO38">
        <v>6.5</v>
      </c>
      <c r="CP38">
        <f t="shared" si="15"/>
        <v>-4</v>
      </c>
      <c r="CQ38">
        <f t="shared" si="16"/>
        <v>0.99994847183452706</v>
      </c>
      <c r="CR38" cm="1">
        <f t="array" ref="CR38">_xlfn.IFS(CQ38&gt;0.9,0,CQ38&lt;0.01,0)</f>
        <v>0</v>
      </c>
      <c r="DA38">
        <v>10</v>
      </c>
      <c r="DB38">
        <v>8.75</v>
      </c>
      <c r="DC38">
        <f t="shared" si="17"/>
        <v>-4.75</v>
      </c>
      <c r="DD38">
        <f t="shared" si="18"/>
        <v>1.0033331273667763</v>
      </c>
      <c r="DE38" cm="1">
        <f t="array" ref="DE38">_xlfn.IFS(DD38&gt;0.9,0,DD38&lt;0.01,0)</f>
        <v>0</v>
      </c>
      <c r="DN38">
        <v>10</v>
      </c>
      <c r="DO38">
        <v>5.75</v>
      </c>
      <c r="DP38">
        <f t="shared" si="19"/>
        <v>-3.25</v>
      </c>
      <c r="DQ38">
        <f t="shared" si="20"/>
        <v>0.99946867893976155</v>
      </c>
      <c r="DR38" cm="1">
        <f t="array" ref="DR38">_xlfn.IFS(DQ38&gt;0.9,0,DQ38&lt;0.01,0)</f>
        <v>0</v>
      </c>
    </row>
    <row r="39" spans="1:122" x14ac:dyDescent="0.4">
      <c r="A39">
        <v>10.25</v>
      </c>
      <c r="B39">
        <v>4.75</v>
      </c>
      <c r="C39">
        <f t="shared" si="0"/>
        <v>-1.9499999999999993</v>
      </c>
      <c r="D39">
        <f t="shared" si="1"/>
        <v>0.99885817968930035</v>
      </c>
      <c r="E39" cm="1">
        <f t="array" ref="E39">_xlfn.IFS(D39&gt;0.9,0,D39&lt;0.01,0)</f>
        <v>0</v>
      </c>
      <c r="N39">
        <v>10.25</v>
      </c>
      <c r="O39">
        <f t="shared" si="21"/>
        <v>101.75</v>
      </c>
      <c r="P39">
        <f t="shared" si="3"/>
        <v>-11.75</v>
      </c>
      <c r="Q39">
        <f t="shared" si="4"/>
        <v>0.99767818534940822</v>
      </c>
      <c r="R39" cm="1">
        <f t="array" ref="R39">_xlfn.IFS(Q39&gt;0.9,0,Q39&lt;0.01,0)</f>
        <v>0</v>
      </c>
      <c r="AA39">
        <v>9.25</v>
      </c>
      <c r="AB39">
        <v>7</v>
      </c>
      <c r="AC39">
        <f t="shared" si="5"/>
        <v>-3.75</v>
      </c>
      <c r="AD39">
        <f t="shared" si="6"/>
        <v>1.0046610657152721</v>
      </c>
      <c r="AE39" cm="1">
        <f t="array" ref="AE39">_xlfn.IFS(AD39&gt;0.9,0,AD39&lt;0.01,0)</f>
        <v>0</v>
      </c>
      <c r="AN39">
        <v>10.25</v>
      </c>
      <c r="AO39">
        <v>92</v>
      </c>
      <c r="AP39">
        <f t="shared" si="7"/>
        <v>0.75</v>
      </c>
      <c r="AQ39">
        <f t="shared" si="8"/>
        <v>0.87185610612852704</v>
      </c>
      <c r="AR39" t="e" cm="1">
        <f t="array" ref="AR39">_xlfn.IFS(AQ39&gt;0.9,0,AQ39&lt;0.01,0)</f>
        <v>#N/A</v>
      </c>
      <c r="BA39">
        <v>10.25</v>
      </c>
      <c r="BB39">
        <v>100.25</v>
      </c>
      <c r="BC39">
        <f t="shared" si="9"/>
        <v>-7.5</v>
      </c>
      <c r="BD39">
        <f t="shared" si="10"/>
        <v>1.004219980412921</v>
      </c>
      <c r="BE39" cm="1">
        <f t="array" ref="BE39">_xlfn.IFS(BD39&gt;0.9,0,BD39&lt;0.01,0)</f>
        <v>0</v>
      </c>
      <c r="BN39">
        <v>10.25</v>
      </c>
      <c r="BO39">
        <v>6.75</v>
      </c>
      <c r="BP39">
        <f t="shared" si="11"/>
        <v>-4.75</v>
      </c>
      <c r="BQ39">
        <f t="shared" si="12"/>
        <v>0.99820453337002968</v>
      </c>
      <c r="BR39" cm="1">
        <f t="array" ref="BR39">_xlfn.IFS(BQ39&gt;0.9,0,BQ39&lt;0.01,0)</f>
        <v>0</v>
      </c>
      <c r="CA39">
        <v>10.25</v>
      </c>
      <c r="CB39">
        <v>93</v>
      </c>
      <c r="CC39">
        <f t="shared" si="13"/>
        <v>-13</v>
      </c>
      <c r="CD39">
        <f t="shared" si="14"/>
        <v>1.0067926241948397</v>
      </c>
      <c r="CE39" cm="1">
        <f t="array" ref="CE39">_xlfn.IFS(CD39&gt;0.9,0,CD39&lt;0.01,0)</f>
        <v>0</v>
      </c>
      <c r="CN39">
        <v>10.25</v>
      </c>
      <c r="CO39">
        <v>6.5</v>
      </c>
      <c r="CP39">
        <f t="shared" si="15"/>
        <v>-3.75</v>
      </c>
      <c r="CQ39">
        <f t="shared" si="16"/>
        <v>0.99994847183452706</v>
      </c>
      <c r="CR39" cm="1">
        <f t="array" ref="CR39">_xlfn.IFS(CQ39&gt;0.9,0,CQ39&lt;0.01,0)</f>
        <v>0</v>
      </c>
      <c r="DA39">
        <v>10.25</v>
      </c>
      <c r="DB39">
        <v>8.5</v>
      </c>
      <c r="DC39">
        <f t="shared" si="17"/>
        <v>-4.5</v>
      </c>
      <c r="DD39">
        <f t="shared" si="18"/>
        <v>1.0061454535824939</v>
      </c>
      <c r="DE39" cm="1">
        <f t="array" ref="DE39">_xlfn.IFS(DD39&gt;0.9,0,DD39&lt;0.01,0)</f>
        <v>0</v>
      </c>
      <c r="DN39">
        <v>10.25</v>
      </c>
      <c r="DO39">
        <v>5.75</v>
      </c>
      <c r="DP39">
        <f t="shared" si="19"/>
        <v>-3</v>
      </c>
      <c r="DQ39">
        <f t="shared" si="20"/>
        <v>0.99946867893976155</v>
      </c>
      <c r="DR39" cm="1">
        <f t="array" ref="DR39">_xlfn.IFS(DQ39&gt;0.9,0,DQ39&lt;0.01,0)</f>
        <v>0</v>
      </c>
    </row>
    <row r="40" spans="1:122" x14ac:dyDescent="0.4">
      <c r="A40">
        <v>10.5</v>
      </c>
      <c r="B40">
        <v>4.75</v>
      </c>
      <c r="C40">
        <f t="shared" si="0"/>
        <v>-1.6999999999999993</v>
      </c>
      <c r="D40">
        <f t="shared" si="1"/>
        <v>0.99885817968930035</v>
      </c>
      <c r="E40" cm="1">
        <f t="array" ref="E40">_xlfn.IFS(D40&gt;0.9,0,D40&lt;0.01,0)</f>
        <v>0</v>
      </c>
      <c r="N40">
        <v>10.5</v>
      </c>
      <c r="O40">
        <f t="shared" si="21"/>
        <v>102.25</v>
      </c>
      <c r="P40">
        <f t="shared" si="3"/>
        <v>-11.5</v>
      </c>
      <c r="Q40">
        <f t="shared" si="4"/>
        <v>1.0029667631646451</v>
      </c>
      <c r="R40" cm="1">
        <f t="array" ref="R40">_xlfn.IFS(Q40&gt;0.9,0,Q40&lt;0.01,0)</f>
        <v>0</v>
      </c>
      <c r="AA40">
        <v>9.5</v>
      </c>
      <c r="AB40">
        <v>6.75</v>
      </c>
      <c r="AC40">
        <f t="shared" si="5"/>
        <v>-3.5</v>
      </c>
      <c r="AD40">
        <f t="shared" si="6"/>
        <v>1.0178674185752099</v>
      </c>
      <c r="AE40" cm="1">
        <f t="array" ref="AE40">_xlfn.IFS(AD40&gt;0.9,0,AD40&lt;0.01,0)</f>
        <v>0</v>
      </c>
      <c r="AN40">
        <v>10.5</v>
      </c>
      <c r="AO40">
        <v>78.25</v>
      </c>
      <c r="AP40">
        <f t="shared" si="7"/>
        <v>1</v>
      </c>
      <c r="AQ40">
        <f t="shared" si="8"/>
        <v>0.68749362802495029</v>
      </c>
      <c r="AR40" t="e" cm="1">
        <f t="array" ref="AR40">_xlfn.IFS(AQ40&gt;0.9,0,AQ40&lt;0.01,0)</f>
        <v>#N/A</v>
      </c>
      <c r="BA40">
        <v>10.5</v>
      </c>
      <c r="BB40">
        <v>100.25</v>
      </c>
      <c r="BC40">
        <f t="shared" si="9"/>
        <v>-7.25</v>
      </c>
      <c r="BD40">
        <f t="shared" si="10"/>
        <v>1.004219980412921</v>
      </c>
      <c r="BE40" cm="1">
        <f t="array" ref="BE40">_xlfn.IFS(BD40&gt;0.9,0,BD40&lt;0.01,0)</f>
        <v>0</v>
      </c>
      <c r="BN40">
        <v>10.5</v>
      </c>
      <c r="BO40">
        <v>6.75</v>
      </c>
      <c r="BP40">
        <f t="shared" si="11"/>
        <v>-4.5</v>
      </c>
      <c r="BQ40">
        <f t="shared" si="12"/>
        <v>0.99820453337002968</v>
      </c>
      <c r="BR40" cm="1">
        <f t="array" ref="BR40">_xlfn.IFS(BQ40&gt;0.9,0,BQ40&lt;0.01,0)</f>
        <v>0</v>
      </c>
      <c r="CA40">
        <v>10.5</v>
      </c>
      <c r="CB40">
        <v>93</v>
      </c>
      <c r="CC40">
        <f t="shared" si="13"/>
        <v>-12.75</v>
      </c>
      <c r="CD40">
        <f t="shared" si="14"/>
        <v>1.0067926241948397</v>
      </c>
      <c r="CE40" cm="1">
        <f t="array" ref="CE40">_xlfn.IFS(CD40&gt;0.9,0,CD40&lt;0.01,0)</f>
        <v>0</v>
      </c>
      <c r="CN40">
        <v>10.5</v>
      </c>
      <c r="CO40">
        <v>6.5</v>
      </c>
      <c r="CP40">
        <f t="shared" si="15"/>
        <v>-3.5</v>
      </c>
      <c r="CQ40">
        <f t="shared" si="16"/>
        <v>0.99994847183452706</v>
      </c>
      <c r="CR40" cm="1">
        <f t="array" ref="CR40">_xlfn.IFS(CQ40&gt;0.9,0,CQ40&lt;0.01,0)</f>
        <v>0</v>
      </c>
      <c r="DA40">
        <v>10.5</v>
      </c>
      <c r="DB40">
        <v>8.5</v>
      </c>
      <c r="DC40">
        <f t="shared" si="17"/>
        <v>-4.25</v>
      </c>
      <c r="DD40">
        <f t="shared" si="18"/>
        <v>1.0061454535824939</v>
      </c>
      <c r="DE40" cm="1">
        <f t="array" ref="DE40">_xlfn.IFS(DD40&gt;0.9,0,DD40&lt;0.01,0)</f>
        <v>0</v>
      </c>
      <c r="DN40">
        <v>10.5</v>
      </c>
      <c r="DO40">
        <v>5.75</v>
      </c>
      <c r="DP40">
        <f t="shared" si="19"/>
        <v>-2.75</v>
      </c>
      <c r="DQ40">
        <f t="shared" si="20"/>
        <v>0.99946867893976155</v>
      </c>
      <c r="DR40" cm="1">
        <f t="array" ref="DR40">_xlfn.IFS(DQ40&gt;0.9,0,DQ40&lt;0.01,0)</f>
        <v>0</v>
      </c>
    </row>
    <row r="41" spans="1:122" x14ac:dyDescent="0.4">
      <c r="A41">
        <v>10.75</v>
      </c>
      <c r="B41">
        <v>5</v>
      </c>
      <c r="C41">
        <f t="shared" si="0"/>
        <v>-1.4499999999999993</v>
      </c>
      <c r="D41">
        <f t="shared" si="1"/>
        <v>0.99623199297469112</v>
      </c>
      <c r="E41" cm="1">
        <f t="array" ref="E41">_xlfn.IFS(D41&gt;0.9,0,D41&lt;0.01,0)</f>
        <v>0</v>
      </c>
      <c r="N41">
        <v>10.75</v>
      </c>
      <c r="O41">
        <f t="shared" si="21"/>
        <v>101.75</v>
      </c>
      <c r="P41">
        <f t="shared" si="3"/>
        <v>-11.25</v>
      </c>
      <c r="Q41">
        <f t="shared" si="4"/>
        <v>0.99767818534940822</v>
      </c>
      <c r="R41" cm="1">
        <f t="array" ref="R41">_xlfn.IFS(Q41&gt;0.9,0,Q41&lt;0.01,0)</f>
        <v>0</v>
      </c>
      <c r="AA41">
        <v>9.75</v>
      </c>
      <c r="AB41">
        <v>6.75</v>
      </c>
      <c r="AC41">
        <f t="shared" si="5"/>
        <v>-3.25</v>
      </c>
      <c r="AD41">
        <f t="shared" si="6"/>
        <v>1.0178674185752099</v>
      </c>
      <c r="AE41" cm="1">
        <f t="array" ref="AE41">_xlfn.IFS(AD41&gt;0.9,0,AD41&lt;0.01,0)</f>
        <v>0</v>
      </c>
      <c r="AN41">
        <v>10.75</v>
      </c>
      <c r="AO41">
        <v>69.25</v>
      </c>
      <c r="AP41">
        <f t="shared" si="7"/>
        <v>1.25</v>
      </c>
      <c r="AQ41">
        <f t="shared" si="8"/>
        <v>0.56682000599351834</v>
      </c>
      <c r="AR41" t="e" cm="1">
        <f t="array" ref="AR41">_xlfn.IFS(AQ41&gt;0.9,0,AQ41&lt;0.01,0)</f>
        <v>#N/A</v>
      </c>
      <c r="BA41">
        <v>10.75</v>
      </c>
      <c r="BB41">
        <v>100.25</v>
      </c>
      <c r="BC41">
        <f t="shared" si="9"/>
        <v>-7</v>
      </c>
      <c r="BD41">
        <f t="shared" si="10"/>
        <v>1.004219980412921</v>
      </c>
      <c r="BE41" cm="1">
        <f t="array" ref="BE41">_xlfn.IFS(BD41&gt;0.9,0,BD41&lt;0.01,0)</f>
        <v>0</v>
      </c>
      <c r="BN41">
        <v>10.75</v>
      </c>
      <c r="BO41">
        <v>6.5</v>
      </c>
      <c r="BP41">
        <f t="shared" si="11"/>
        <v>-4.25</v>
      </c>
      <c r="BQ41">
        <f t="shared" si="12"/>
        <v>1.0011798780711232</v>
      </c>
      <c r="BR41" cm="1">
        <f t="array" ref="BR41">_xlfn.IFS(BQ41&gt;0.9,0,BQ41&lt;0.01,0)</f>
        <v>0</v>
      </c>
      <c r="CA41">
        <v>10.75</v>
      </c>
      <c r="CB41">
        <v>92.75</v>
      </c>
      <c r="CC41">
        <f t="shared" si="13"/>
        <v>-12.5</v>
      </c>
      <c r="CD41">
        <f t="shared" si="14"/>
        <v>1.0038145771340479</v>
      </c>
      <c r="CE41" cm="1">
        <f t="array" ref="CE41">_xlfn.IFS(CD41&gt;0.9,0,CD41&lt;0.01,0)</f>
        <v>0</v>
      </c>
      <c r="CN41">
        <v>10.75</v>
      </c>
      <c r="CO41">
        <v>6.25</v>
      </c>
      <c r="CP41">
        <f t="shared" si="15"/>
        <v>-3.25</v>
      </c>
      <c r="CQ41">
        <f t="shared" si="16"/>
        <v>1.0027309927700654</v>
      </c>
      <c r="CR41" cm="1">
        <f t="array" ref="CR41">_xlfn.IFS(CQ41&gt;0.9,0,CQ41&lt;0.01,0)</f>
        <v>0</v>
      </c>
      <c r="DA41">
        <v>10.75</v>
      </c>
      <c r="DB41">
        <v>8.5</v>
      </c>
      <c r="DC41">
        <f t="shared" si="17"/>
        <v>-4</v>
      </c>
      <c r="DD41">
        <f t="shared" si="18"/>
        <v>1.0061454535824939</v>
      </c>
      <c r="DE41" cm="1">
        <f t="array" ref="DE41">_xlfn.IFS(DD41&gt;0.9,0,DD41&lt;0.01,0)</f>
        <v>0</v>
      </c>
      <c r="DN41">
        <v>10.75</v>
      </c>
      <c r="DO41">
        <v>5.75</v>
      </c>
      <c r="DP41">
        <f t="shared" si="19"/>
        <v>-2.5</v>
      </c>
      <c r="DQ41">
        <f t="shared" si="20"/>
        <v>0.99946867893976155</v>
      </c>
      <c r="DR41" cm="1">
        <f t="array" ref="DR41">_xlfn.IFS(DQ41&gt;0.9,0,DQ41&lt;0.01,0)</f>
        <v>0</v>
      </c>
    </row>
    <row r="42" spans="1:122" x14ac:dyDescent="0.4">
      <c r="A42">
        <v>11</v>
      </c>
      <c r="B42">
        <v>5</v>
      </c>
      <c r="C42">
        <f t="shared" si="0"/>
        <v>-1.1999999999999993</v>
      </c>
      <c r="D42">
        <f t="shared" si="1"/>
        <v>0.99623199297469112</v>
      </c>
      <c r="E42" cm="1">
        <f t="array" ref="E42">_xlfn.IFS(D42&gt;0.9,0,D42&lt;0.01,0)</f>
        <v>0</v>
      </c>
      <c r="N42">
        <v>11</v>
      </c>
      <c r="O42">
        <f t="shared" si="21"/>
        <v>102.5</v>
      </c>
      <c r="P42">
        <f t="shared" si="3"/>
        <v>-11</v>
      </c>
      <c r="Q42">
        <f t="shared" si="4"/>
        <v>1.0056110520722636</v>
      </c>
      <c r="R42" cm="1">
        <f t="array" ref="R42">_xlfn.IFS(Q42&gt;0.9,0,Q42&lt;0.01,0)</f>
        <v>0</v>
      </c>
      <c r="AA42">
        <v>10</v>
      </c>
      <c r="AB42">
        <v>7</v>
      </c>
      <c r="AC42">
        <f t="shared" si="5"/>
        <v>-3</v>
      </c>
      <c r="AD42">
        <f t="shared" si="6"/>
        <v>1.0046610657152721</v>
      </c>
      <c r="AE42" cm="1">
        <f t="array" ref="AE42">_xlfn.IFS(AD42&gt;0.9,0,AD42&lt;0.01,0)</f>
        <v>0</v>
      </c>
      <c r="AN42">
        <v>11.000999999999999</v>
      </c>
      <c r="AO42">
        <v>63</v>
      </c>
      <c r="AP42">
        <f t="shared" si="7"/>
        <v>1.5009999999999994</v>
      </c>
      <c r="AQ42">
        <f t="shared" si="8"/>
        <v>0.48301887958280171</v>
      </c>
      <c r="AR42" t="e" cm="1">
        <f t="array" ref="AR42">_xlfn.IFS(AQ42&gt;0.9,0,AQ42&lt;0.01,0)</f>
        <v>#N/A</v>
      </c>
      <c r="BA42">
        <v>11</v>
      </c>
      <c r="BB42">
        <v>100.25</v>
      </c>
      <c r="BC42">
        <f t="shared" si="9"/>
        <v>-6.75</v>
      </c>
      <c r="BD42">
        <f t="shared" si="10"/>
        <v>1.004219980412921</v>
      </c>
      <c r="BE42" cm="1">
        <f t="array" ref="BE42">_xlfn.IFS(BD42&gt;0.9,0,BD42&lt;0.01,0)</f>
        <v>0</v>
      </c>
      <c r="BN42">
        <v>11</v>
      </c>
      <c r="BO42">
        <v>6.5</v>
      </c>
      <c r="BP42">
        <f t="shared" si="11"/>
        <v>-4</v>
      </c>
      <c r="BQ42">
        <f t="shared" si="12"/>
        <v>1.0011798780711232</v>
      </c>
      <c r="BR42" cm="1">
        <f t="array" ref="BR42">_xlfn.IFS(BQ42&gt;0.9,0,BQ42&lt;0.01,0)</f>
        <v>0</v>
      </c>
      <c r="CA42">
        <v>11</v>
      </c>
      <c r="CB42">
        <v>92.5</v>
      </c>
      <c r="CC42">
        <f t="shared" si="13"/>
        <v>-12.25</v>
      </c>
      <c r="CD42">
        <f t="shared" si="14"/>
        <v>1.000836530073256</v>
      </c>
      <c r="CE42" cm="1">
        <f t="array" ref="CE42">_xlfn.IFS(CD42&gt;0.9,0,CD42&lt;0.01,0)</f>
        <v>0</v>
      </c>
      <c r="CN42">
        <v>11</v>
      </c>
      <c r="CO42">
        <v>6.25</v>
      </c>
      <c r="CP42">
        <f t="shared" si="15"/>
        <v>-3</v>
      </c>
      <c r="CQ42">
        <f t="shared" si="16"/>
        <v>1.0027309927700654</v>
      </c>
      <c r="CR42" cm="1">
        <f t="array" ref="CR42">_xlfn.IFS(CQ42&gt;0.9,0,CQ42&lt;0.01,0)</f>
        <v>0</v>
      </c>
      <c r="DA42">
        <v>11</v>
      </c>
      <c r="DB42">
        <v>8.5</v>
      </c>
      <c r="DC42">
        <f t="shared" si="17"/>
        <v>-3.75</v>
      </c>
      <c r="DD42">
        <f t="shared" si="18"/>
        <v>1.0061454535824939</v>
      </c>
      <c r="DE42" cm="1">
        <f t="array" ref="DE42">_xlfn.IFS(DD42&gt;0.9,0,DD42&lt;0.01,0)</f>
        <v>0</v>
      </c>
      <c r="DN42">
        <v>11</v>
      </c>
      <c r="DO42">
        <v>5.75</v>
      </c>
      <c r="DP42">
        <f t="shared" si="19"/>
        <v>-2.25</v>
      </c>
      <c r="DQ42">
        <f t="shared" si="20"/>
        <v>0.99946867893976155</v>
      </c>
      <c r="DR42" cm="1">
        <f t="array" ref="DR42">_xlfn.IFS(DQ42&gt;0.9,0,DQ42&lt;0.01,0)</f>
        <v>0</v>
      </c>
    </row>
    <row r="43" spans="1:122" x14ac:dyDescent="0.4">
      <c r="A43">
        <v>11.25</v>
      </c>
      <c r="B43">
        <v>5</v>
      </c>
      <c r="C43">
        <f t="shared" si="0"/>
        <v>-0.94999999999999929</v>
      </c>
      <c r="D43">
        <f t="shared" si="1"/>
        <v>0.99623199297469112</v>
      </c>
      <c r="E43" cm="1">
        <f t="array" ref="E43">_xlfn.IFS(D43&gt;0.9,0,D43&lt;0.01,0)</f>
        <v>0</v>
      </c>
      <c r="N43">
        <v>11.25</v>
      </c>
      <c r="O43">
        <f t="shared" si="21"/>
        <v>102.5</v>
      </c>
      <c r="P43">
        <f t="shared" si="3"/>
        <v>-10.75</v>
      </c>
      <c r="Q43">
        <f t="shared" si="4"/>
        <v>1.0056110520722636</v>
      </c>
      <c r="R43" cm="1">
        <f t="array" ref="R43">_xlfn.IFS(Q43&gt;0.9,0,Q43&lt;0.01,0)</f>
        <v>0</v>
      </c>
      <c r="AA43">
        <v>10.25</v>
      </c>
      <c r="AB43">
        <v>6.75</v>
      </c>
      <c r="AC43">
        <f t="shared" si="5"/>
        <v>-2.75</v>
      </c>
      <c r="AD43">
        <f t="shared" si="6"/>
        <v>1.0178674185752099</v>
      </c>
      <c r="AE43" cm="1">
        <f t="array" ref="AE43">_xlfn.IFS(AD43&gt;0.9,0,AD43&lt;0.01,0)</f>
        <v>0</v>
      </c>
      <c r="AN43">
        <v>11.25</v>
      </c>
      <c r="AO43">
        <v>56.5</v>
      </c>
      <c r="AP43">
        <f t="shared" si="7"/>
        <v>1.75</v>
      </c>
      <c r="AQ43">
        <f t="shared" si="8"/>
        <v>0.39586570811565636</v>
      </c>
      <c r="AR43" t="e" cm="1">
        <f t="array" ref="AR43">_xlfn.IFS(AQ43&gt;0.9,0,AQ43&lt;0.01,0)</f>
        <v>#N/A</v>
      </c>
      <c r="BA43">
        <v>11.25</v>
      </c>
      <c r="BB43">
        <v>100.25</v>
      </c>
      <c r="BC43">
        <f t="shared" si="9"/>
        <v>-6.5</v>
      </c>
      <c r="BD43">
        <f t="shared" si="10"/>
        <v>1.004219980412921</v>
      </c>
      <c r="BE43" cm="1">
        <f t="array" ref="BE43">_xlfn.IFS(BD43&gt;0.9,0,BD43&lt;0.01,0)</f>
        <v>0</v>
      </c>
      <c r="BN43">
        <v>11.25</v>
      </c>
      <c r="BO43">
        <v>6.75</v>
      </c>
      <c r="BP43">
        <f t="shared" si="11"/>
        <v>-3.75</v>
      </c>
      <c r="BQ43">
        <f t="shared" si="12"/>
        <v>0.99820453337002968</v>
      </c>
      <c r="BR43" cm="1">
        <f t="array" ref="BR43">_xlfn.IFS(BQ43&gt;0.9,0,BQ43&lt;0.01,0)</f>
        <v>0</v>
      </c>
      <c r="CA43">
        <v>11.25</v>
      </c>
      <c r="CB43">
        <v>92.5</v>
      </c>
      <c r="CC43">
        <f t="shared" si="13"/>
        <v>-12</v>
      </c>
      <c r="CD43">
        <f t="shared" si="14"/>
        <v>1.000836530073256</v>
      </c>
      <c r="CE43" cm="1">
        <f t="array" ref="CE43">_xlfn.IFS(CD43&gt;0.9,0,CD43&lt;0.01,0)</f>
        <v>0</v>
      </c>
      <c r="CN43">
        <v>11.25</v>
      </c>
      <c r="CO43">
        <v>6.25</v>
      </c>
      <c r="CP43">
        <f t="shared" si="15"/>
        <v>-2.75</v>
      </c>
      <c r="CQ43">
        <f t="shared" si="16"/>
        <v>1.0027309927700654</v>
      </c>
      <c r="CR43" cm="1">
        <f t="array" ref="CR43">_xlfn.IFS(CQ43&gt;0.9,0,CQ43&lt;0.01,0)</f>
        <v>0</v>
      </c>
      <c r="DA43">
        <v>11.25</v>
      </c>
      <c r="DB43">
        <v>8.5</v>
      </c>
      <c r="DC43">
        <f t="shared" si="17"/>
        <v>-3.5</v>
      </c>
      <c r="DD43">
        <f t="shared" si="18"/>
        <v>1.0061454535824939</v>
      </c>
      <c r="DE43" cm="1">
        <f t="array" ref="DE43">_xlfn.IFS(DD43&gt;0.9,0,DD43&lt;0.01,0)</f>
        <v>0</v>
      </c>
      <c r="DN43">
        <v>11.25</v>
      </c>
      <c r="DO43">
        <v>5.75</v>
      </c>
      <c r="DP43">
        <f t="shared" si="19"/>
        <v>-2</v>
      </c>
      <c r="DQ43">
        <f t="shared" si="20"/>
        <v>0.99946867893976155</v>
      </c>
      <c r="DR43" cm="1">
        <f t="array" ref="DR43">_xlfn.IFS(DQ43&gt;0.9,0,DQ43&lt;0.01,0)</f>
        <v>0</v>
      </c>
    </row>
    <row r="44" spans="1:122" x14ac:dyDescent="0.4">
      <c r="A44">
        <v>11.5</v>
      </c>
      <c r="B44">
        <v>5</v>
      </c>
      <c r="C44">
        <f t="shared" si="0"/>
        <v>-0.69999999999999929</v>
      </c>
      <c r="D44">
        <f t="shared" si="1"/>
        <v>0.99623199297469112</v>
      </c>
      <c r="E44" cm="1">
        <f t="array" ref="E44">_xlfn.IFS(D44&gt;0.9,0,D44&lt;0.01,0)</f>
        <v>0</v>
      </c>
      <c r="N44">
        <v>11.5</v>
      </c>
      <c r="O44">
        <f t="shared" si="21"/>
        <v>101.75</v>
      </c>
      <c r="P44">
        <f t="shared" si="3"/>
        <v>-10.5</v>
      </c>
      <c r="Q44">
        <f t="shared" si="4"/>
        <v>0.99767818534940822</v>
      </c>
      <c r="R44" cm="1">
        <f t="array" ref="R44">_xlfn.IFS(Q44&gt;0.9,0,Q44&lt;0.01,0)</f>
        <v>0</v>
      </c>
      <c r="AA44">
        <v>10.5</v>
      </c>
      <c r="AB44">
        <v>6.75</v>
      </c>
      <c r="AC44">
        <f t="shared" si="5"/>
        <v>-2.5</v>
      </c>
      <c r="AD44">
        <f t="shared" si="6"/>
        <v>1.0178674185752099</v>
      </c>
      <c r="AE44" cm="1">
        <f t="array" ref="AE44">_xlfn.IFS(AD44&gt;0.9,0,AD44&lt;0.01,0)</f>
        <v>0</v>
      </c>
      <c r="AN44">
        <v>11.5</v>
      </c>
      <c r="AO44">
        <v>53.25</v>
      </c>
      <c r="AP44">
        <f t="shared" si="7"/>
        <v>2</v>
      </c>
      <c r="AQ44">
        <f t="shared" si="8"/>
        <v>0.35228912238208371</v>
      </c>
      <c r="AR44" t="e" cm="1">
        <f t="array" ref="AR44">_xlfn.IFS(AQ44&gt;0.9,0,AQ44&lt;0.01,0)</f>
        <v>#N/A</v>
      </c>
      <c r="BA44">
        <v>11.500999999999999</v>
      </c>
      <c r="BB44">
        <v>100.25</v>
      </c>
      <c r="BC44">
        <f t="shared" si="9"/>
        <v>-6.2490000000000006</v>
      </c>
      <c r="BD44">
        <f t="shared" si="10"/>
        <v>1.004219980412921</v>
      </c>
      <c r="BE44" cm="1">
        <f t="array" ref="BE44">_xlfn.IFS(BD44&gt;0.9,0,BD44&lt;0.01,0)</f>
        <v>0</v>
      </c>
      <c r="BN44">
        <v>11.5</v>
      </c>
      <c r="BO44">
        <v>6.75</v>
      </c>
      <c r="BP44">
        <f t="shared" si="11"/>
        <v>-3.5</v>
      </c>
      <c r="BQ44">
        <f t="shared" si="12"/>
        <v>0.99820453337002968</v>
      </c>
      <c r="BR44" cm="1">
        <f t="array" ref="BR44">_xlfn.IFS(BQ44&gt;0.9,0,BQ44&lt;0.01,0)</f>
        <v>0</v>
      </c>
      <c r="CA44">
        <v>11.5</v>
      </c>
      <c r="CB44">
        <v>92.5</v>
      </c>
      <c r="CC44">
        <f t="shared" si="13"/>
        <v>-11.75</v>
      </c>
      <c r="CD44">
        <f t="shared" si="14"/>
        <v>1.000836530073256</v>
      </c>
      <c r="CE44" cm="1">
        <f t="array" ref="CE44">_xlfn.IFS(CD44&gt;0.9,0,CD44&lt;0.01,0)</f>
        <v>0</v>
      </c>
      <c r="CN44">
        <v>11.5</v>
      </c>
      <c r="CO44">
        <v>6.25</v>
      </c>
      <c r="CP44">
        <f t="shared" si="15"/>
        <v>-2.5</v>
      </c>
      <c r="CQ44">
        <f t="shared" si="16"/>
        <v>1.0027309927700654</v>
      </c>
      <c r="CR44" cm="1">
        <f t="array" ref="CR44">_xlfn.IFS(CQ44&gt;0.9,0,CQ44&lt;0.01,0)</f>
        <v>0</v>
      </c>
      <c r="DA44">
        <v>11.5</v>
      </c>
      <c r="DB44">
        <v>8.5</v>
      </c>
      <c r="DC44">
        <f t="shared" si="17"/>
        <v>-3.25</v>
      </c>
      <c r="DD44">
        <f t="shared" si="18"/>
        <v>1.0061454535824939</v>
      </c>
      <c r="DE44" cm="1">
        <f t="array" ref="DE44">_xlfn.IFS(DD44&gt;0.9,0,DD44&lt;0.01,0)</f>
        <v>0</v>
      </c>
      <c r="DN44">
        <v>11.5</v>
      </c>
      <c r="DO44">
        <v>5.75</v>
      </c>
      <c r="DP44">
        <f t="shared" si="19"/>
        <v>-1.75</v>
      </c>
      <c r="DQ44">
        <f t="shared" si="20"/>
        <v>0.99946867893976155</v>
      </c>
      <c r="DR44" cm="1">
        <f t="array" ref="DR44">_xlfn.IFS(DQ44&gt;0.9,0,DQ44&lt;0.01,0)</f>
        <v>0</v>
      </c>
    </row>
    <row r="45" spans="1:122" x14ac:dyDescent="0.4">
      <c r="A45">
        <v>11.75</v>
      </c>
      <c r="B45">
        <v>5</v>
      </c>
      <c r="C45">
        <f t="shared" si="0"/>
        <v>-0.44999999999999929</v>
      </c>
      <c r="D45">
        <f t="shared" si="1"/>
        <v>0.99623199297469112</v>
      </c>
      <c r="E45" cm="1">
        <f t="array" ref="E45">_xlfn.IFS(D45&gt;0.9,0,D45&lt;0.01,0)</f>
        <v>0</v>
      </c>
      <c r="N45">
        <v>11.75</v>
      </c>
      <c r="O45">
        <f t="shared" si="21"/>
        <v>102</v>
      </c>
      <c r="P45">
        <f t="shared" si="3"/>
        <v>-10.25</v>
      </c>
      <c r="Q45">
        <f t="shared" si="4"/>
        <v>1.0003224742570267</v>
      </c>
      <c r="R45" cm="1">
        <f t="array" ref="R45">_xlfn.IFS(Q45&gt;0.9,0,Q45&lt;0.01,0)</f>
        <v>0</v>
      </c>
      <c r="AA45">
        <v>10.75</v>
      </c>
      <c r="AB45">
        <v>6.75</v>
      </c>
      <c r="AC45">
        <f t="shared" si="5"/>
        <v>-2.25</v>
      </c>
      <c r="AD45">
        <f t="shared" si="6"/>
        <v>1.0178674185752099</v>
      </c>
      <c r="AE45" cm="1">
        <f t="array" ref="AE45">_xlfn.IFS(AD45&gt;0.9,0,AD45&lt;0.01,0)</f>
        <v>0</v>
      </c>
      <c r="AN45">
        <v>11.75</v>
      </c>
      <c r="AO45">
        <v>50.5</v>
      </c>
      <c r="AP45">
        <f t="shared" si="7"/>
        <v>2.25</v>
      </c>
      <c r="AQ45">
        <f t="shared" si="8"/>
        <v>0.31541662676136839</v>
      </c>
      <c r="AR45" t="e" cm="1">
        <f t="array" ref="AR45">_xlfn.IFS(AQ45&gt;0.9,0,AQ45&lt;0.01,0)</f>
        <v>#N/A</v>
      </c>
      <c r="BA45">
        <v>11.75</v>
      </c>
      <c r="BB45">
        <v>100.25</v>
      </c>
      <c r="BC45">
        <f t="shared" si="9"/>
        <v>-6</v>
      </c>
      <c r="BD45">
        <f t="shared" si="10"/>
        <v>1.004219980412921</v>
      </c>
      <c r="BE45" cm="1">
        <f t="array" ref="BE45">_xlfn.IFS(BD45&gt;0.9,0,BD45&lt;0.01,0)</f>
        <v>0</v>
      </c>
      <c r="BN45">
        <v>11.75</v>
      </c>
      <c r="BO45">
        <v>6.5</v>
      </c>
      <c r="BP45">
        <f t="shared" si="11"/>
        <v>-3.25</v>
      </c>
      <c r="BQ45">
        <f t="shared" si="12"/>
        <v>1.0011798780711232</v>
      </c>
      <c r="BR45" cm="1">
        <f t="array" ref="BR45">_xlfn.IFS(BQ45&gt;0.9,0,BQ45&lt;0.01,0)</f>
        <v>0</v>
      </c>
      <c r="CA45">
        <v>11.75</v>
      </c>
      <c r="CB45">
        <v>92.5</v>
      </c>
      <c r="CC45">
        <f t="shared" si="13"/>
        <v>-11.5</v>
      </c>
      <c r="CD45">
        <f t="shared" si="14"/>
        <v>1.000836530073256</v>
      </c>
      <c r="CE45" cm="1">
        <f t="array" ref="CE45">_xlfn.IFS(CD45&gt;0.9,0,CD45&lt;0.01,0)</f>
        <v>0</v>
      </c>
      <c r="CN45">
        <v>11.75</v>
      </c>
      <c r="CO45">
        <v>6.25</v>
      </c>
      <c r="CP45">
        <f t="shared" si="15"/>
        <v>-2.25</v>
      </c>
      <c r="CQ45">
        <f t="shared" si="16"/>
        <v>1.0027309927700654</v>
      </c>
      <c r="CR45" cm="1">
        <f t="array" ref="CR45">_xlfn.IFS(CQ45&gt;0.9,0,CQ45&lt;0.01,0)</f>
        <v>0</v>
      </c>
      <c r="DA45">
        <v>11.75</v>
      </c>
      <c r="DB45">
        <v>8.5</v>
      </c>
      <c r="DC45">
        <f t="shared" si="17"/>
        <v>-3</v>
      </c>
      <c r="DD45">
        <f t="shared" si="18"/>
        <v>1.0061454535824939</v>
      </c>
      <c r="DE45" cm="1">
        <f t="array" ref="DE45">_xlfn.IFS(DD45&gt;0.9,0,DD45&lt;0.01,0)</f>
        <v>0</v>
      </c>
      <c r="DN45">
        <v>11.75</v>
      </c>
      <c r="DO45">
        <v>5.75</v>
      </c>
      <c r="DP45">
        <f t="shared" si="19"/>
        <v>-1.5</v>
      </c>
      <c r="DQ45">
        <f t="shared" si="20"/>
        <v>0.99946867893976155</v>
      </c>
      <c r="DR45" cm="1">
        <f t="array" ref="DR45">_xlfn.IFS(DQ45&gt;0.9,0,DQ45&lt;0.01,0)</f>
        <v>0</v>
      </c>
    </row>
    <row r="46" spans="1:122" x14ac:dyDescent="0.4">
      <c r="A46">
        <v>12</v>
      </c>
      <c r="B46">
        <v>5</v>
      </c>
      <c r="C46">
        <f t="shared" si="0"/>
        <v>-0.19999999999999929</v>
      </c>
      <c r="D46">
        <f t="shared" si="1"/>
        <v>0.99623199297469112</v>
      </c>
      <c r="E46" cm="1">
        <f t="array" ref="E46">_xlfn.IFS(D46&gt;0.9,0,D46&lt;0.01,0)</f>
        <v>0</v>
      </c>
      <c r="N46">
        <v>12</v>
      </c>
      <c r="O46">
        <f>O39</f>
        <v>101.75</v>
      </c>
      <c r="P46">
        <f t="shared" si="3"/>
        <v>-10</v>
      </c>
      <c r="Q46">
        <f t="shared" si="4"/>
        <v>0.99767818534940822</v>
      </c>
      <c r="R46" cm="1">
        <f t="array" ref="R46">_xlfn.IFS(Q46&gt;0.9,0,Q46&lt;0.01,0)</f>
        <v>0</v>
      </c>
      <c r="AA46">
        <v>11</v>
      </c>
      <c r="AB46">
        <v>6.75</v>
      </c>
      <c r="AC46">
        <f t="shared" si="5"/>
        <v>-2</v>
      </c>
      <c r="AD46">
        <f t="shared" si="6"/>
        <v>1.0178674185752099</v>
      </c>
      <c r="AE46" cm="1">
        <f t="array" ref="AE46">_xlfn.IFS(AD46&gt;0.9,0,AD46&lt;0.01,0)</f>
        <v>0</v>
      </c>
      <c r="AN46">
        <v>12</v>
      </c>
      <c r="AO46">
        <v>47.75</v>
      </c>
      <c r="AP46">
        <f t="shared" si="7"/>
        <v>2.5</v>
      </c>
      <c r="AQ46">
        <f t="shared" si="8"/>
        <v>0.27854413114065302</v>
      </c>
      <c r="AR46" t="e" cm="1">
        <f t="array" ref="AR46">_xlfn.IFS(AQ46&gt;0.9,0,AQ46&lt;0.01,0)</f>
        <v>#N/A</v>
      </c>
      <c r="BA46">
        <v>12</v>
      </c>
      <c r="BB46">
        <v>100.25</v>
      </c>
      <c r="BC46">
        <f t="shared" si="9"/>
        <v>-5.75</v>
      </c>
      <c r="BD46">
        <f t="shared" si="10"/>
        <v>1.004219980412921</v>
      </c>
      <c r="BE46" cm="1">
        <f t="array" ref="BE46">_xlfn.IFS(BD46&gt;0.9,0,BD46&lt;0.01,0)</f>
        <v>0</v>
      </c>
      <c r="BN46">
        <v>12</v>
      </c>
      <c r="BO46">
        <v>6.75</v>
      </c>
      <c r="BP46">
        <f t="shared" si="11"/>
        <v>-3</v>
      </c>
      <c r="BQ46">
        <f t="shared" si="12"/>
        <v>0.99820453337002968</v>
      </c>
      <c r="BR46" cm="1">
        <f t="array" ref="BR46">_xlfn.IFS(BQ46&gt;0.9,0,BQ46&lt;0.01,0)</f>
        <v>0</v>
      </c>
      <c r="CA46">
        <v>12</v>
      </c>
      <c r="CB46">
        <v>92.5</v>
      </c>
      <c r="CC46">
        <f t="shared" si="13"/>
        <v>-11.25</v>
      </c>
      <c r="CD46">
        <f t="shared" si="14"/>
        <v>1.000836530073256</v>
      </c>
      <c r="CE46" cm="1">
        <f t="array" ref="CE46">_xlfn.IFS(CD46&gt;0.9,0,CD46&lt;0.01,0)</f>
        <v>0</v>
      </c>
      <c r="CN46">
        <v>12</v>
      </c>
      <c r="CO46">
        <v>6.25</v>
      </c>
      <c r="CP46">
        <f t="shared" si="15"/>
        <v>-2</v>
      </c>
      <c r="CQ46">
        <f t="shared" si="16"/>
        <v>1.0027309927700654</v>
      </c>
      <c r="CR46" cm="1">
        <f t="array" ref="CR46">_xlfn.IFS(CQ46&gt;0.9,0,CQ46&lt;0.01,0)</f>
        <v>0</v>
      </c>
      <c r="DA46">
        <v>12</v>
      </c>
      <c r="DB46">
        <v>8.25</v>
      </c>
      <c r="DC46">
        <f t="shared" si="17"/>
        <v>-2.75</v>
      </c>
      <c r="DD46">
        <f t="shared" si="18"/>
        <v>1.0089577797982117</v>
      </c>
      <c r="DE46" cm="1">
        <f t="array" ref="DE46">_xlfn.IFS(DD46&gt;0.9,0,DD46&lt;0.01,0)</f>
        <v>0</v>
      </c>
      <c r="DN46">
        <v>12</v>
      </c>
      <c r="DO46">
        <v>5.75</v>
      </c>
      <c r="DP46">
        <f t="shared" si="19"/>
        <v>-1.25</v>
      </c>
      <c r="DQ46">
        <f t="shared" si="20"/>
        <v>0.99946867893976155</v>
      </c>
      <c r="DR46" cm="1">
        <f t="array" ref="DR46">_xlfn.IFS(DQ46&gt;0.9,0,DQ46&lt;0.01,0)</f>
        <v>0</v>
      </c>
    </row>
    <row r="47" spans="1:122" x14ac:dyDescent="0.4">
      <c r="A47">
        <v>12.25</v>
      </c>
      <c r="B47">
        <v>5.25</v>
      </c>
      <c r="C47">
        <f t="shared" si="0"/>
        <v>5.0000000000000711E-2</v>
      </c>
      <c r="D47">
        <f t="shared" si="1"/>
        <v>0.99360580626008177</v>
      </c>
      <c r="E47" cm="1">
        <f t="array" ref="E47">_xlfn.IFS(D47&gt;0.9,0,D47&lt;0.01,0)</f>
        <v>0</v>
      </c>
      <c r="N47">
        <v>12.25</v>
      </c>
      <c r="O47">
        <f t="shared" ref="O47:O52" si="22">O40</f>
        <v>102.25</v>
      </c>
      <c r="P47">
        <f t="shared" si="3"/>
        <v>-9.75</v>
      </c>
      <c r="Q47">
        <f t="shared" si="4"/>
        <v>1.0029667631646451</v>
      </c>
      <c r="R47" cm="1">
        <f t="array" ref="R47">_xlfn.IFS(Q47&gt;0.9,0,Q47&lt;0.01,0)</f>
        <v>0</v>
      </c>
      <c r="AA47">
        <v>11.25</v>
      </c>
      <c r="AB47">
        <v>7</v>
      </c>
      <c r="AC47">
        <f t="shared" si="5"/>
        <v>-1.75</v>
      </c>
      <c r="AD47">
        <f t="shared" si="6"/>
        <v>1.0046610657152721</v>
      </c>
      <c r="AE47" cm="1">
        <f t="array" ref="AE47">_xlfn.IFS(AD47&gt;0.9,0,AD47&lt;0.01,0)</f>
        <v>0</v>
      </c>
      <c r="AN47">
        <v>12.25</v>
      </c>
      <c r="AO47">
        <v>46.25</v>
      </c>
      <c r="AP47">
        <f t="shared" si="7"/>
        <v>2.75</v>
      </c>
      <c r="AQ47">
        <f t="shared" si="8"/>
        <v>0.25843186080208103</v>
      </c>
      <c r="AR47" t="e" cm="1">
        <f t="array" ref="AR47">_xlfn.IFS(AQ47&gt;0.9,0,AQ47&lt;0.01,0)</f>
        <v>#N/A</v>
      </c>
      <c r="BA47">
        <v>12.25</v>
      </c>
      <c r="BB47">
        <v>100.25</v>
      </c>
      <c r="BC47">
        <f t="shared" si="9"/>
        <v>-5.5</v>
      </c>
      <c r="BD47">
        <f t="shared" si="10"/>
        <v>1.004219980412921</v>
      </c>
      <c r="BE47" cm="1">
        <f t="array" ref="BE47">_xlfn.IFS(BD47&gt;0.9,0,BD47&lt;0.01,0)</f>
        <v>0</v>
      </c>
      <c r="BN47">
        <v>12.25</v>
      </c>
      <c r="BO47">
        <v>6.75</v>
      </c>
      <c r="BP47">
        <f t="shared" si="11"/>
        <v>-2.75</v>
      </c>
      <c r="BQ47">
        <f t="shared" si="12"/>
        <v>0.99820453337002968</v>
      </c>
      <c r="BR47" cm="1">
        <f t="array" ref="BR47">_xlfn.IFS(BQ47&gt;0.9,0,BQ47&lt;0.01,0)</f>
        <v>0</v>
      </c>
      <c r="CA47">
        <v>12.25</v>
      </c>
      <c r="CB47">
        <v>92.75</v>
      </c>
      <c r="CC47">
        <f t="shared" si="13"/>
        <v>-11</v>
      </c>
      <c r="CD47">
        <f t="shared" si="14"/>
        <v>1.0038145771340479</v>
      </c>
      <c r="CE47" cm="1">
        <f t="array" ref="CE47">_xlfn.IFS(CD47&gt;0.9,0,CD47&lt;0.01,0)</f>
        <v>0</v>
      </c>
      <c r="CN47">
        <v>12.25</v>
      </c>
      <c r="CO47">
        <v>6.25</v>
      </c>
      <c r="CP47">
        <f t="shared" si="15"/>
        <v>-1.75</v>
      </c>
      <c r="CQ47">
        <f t="shared" si="16"/>
        <v>1.0027309927700654</v>
      </c>
      <c r="CR47" cm="1">
        <f t="array" ref="CR47">_xlfn.IFS(CQ47&gt;0.9,0,CQ47&lt;0.01,0)</f>
        <v>0</v>
      </c>
      <c r="DA47">
        <v>12.25</v>
      </c>
      <c r="DB47">
        <v>8.5</v>
      </c>
      <c r="DC47">
        <f t="shared" si="17"/>
        <v>-2.5</v>
      </c>
      <c r="DD47">
        <f t="shared" si="18"/>
        <v>1.0061454535824939</v>
      </c>
      <c r="DE47" cm="1">
        <f t="array" ref="DE47">_xlfn.IFS(DD47&gt;0.9,0,DD47&lt;0.01,0)</f>
        <v>0</v>
      </c>
      <c r="DN47">
        <v>12.25</v>
      </c>
      <c r="DO47">
        <v>5.75</v>
      </c>
      <c r="DP47">
        <f t="shared" si="19"/>
        <v>-1</v>
      </c>
      <c r="DQ47">
        <f t="shared" si="20"/>
        <v>0.99946867893976155</v>
      </c>
      <c r="DR47" cm="1">
        <f t="array" ref="DR47">_xlfn.IFS(DQ47&gt;0.9,0,DQ47&lt;0.01,0)</f>
        <v>0</v>
      </c>
    </row>
    <row r="48" spans="1:122" x14ac:dyDescent="0.4">
      <c r="A48">
        <v>12.5</v>
      </c>
      <c r="B48">
        <v>6</v>
      </c>
      <c r="C48">
        <f t="shared" si="0"/>
        <v>0.30000000000000071</v>
      </c>
      <c r="D48">
        <f t="shared" si="1"/>
        <v>0.98572724611625395</v>
      </c>
      <c r="E48" cm="1">
        <f t="array" ref="E48">_xlfn.IFS(D48&gt;0.9,0,D48&lt;0.01,0)</f>
        <v>0</v>
      </c>
      <c r="N48">
        <v>12.5</v>
      </c>
      <c r="O48">
        <f t="shared" si="22"/>
        <v>101.75</v>
      </c>
      <c r="P48">
        <f t="shared" si="3"/>
        <v>-9.5</v>
      </c>
      <c r="Q48">
        <f t="shared" si="4"/>
        <v>0.99767818534940822</v>
      </c>
      <c r="R48" cm="1">
        <f t="array" ref="R48">_xlfn.IFS(Q48&gt;0.9,0,Q48&lt;0.01,0)</f>
        <v>0</v>
      </c>
      <c r="AA48">
        <v>11.5</v>
      </c>
      <c r="AB48">
        <v>6.75</v>
      </c>
      <c r="AC48">
        <f t="shared" si="5"/>
        <v>-1.5</v>
      </c>
      <c r="AD48">
        <f t="shared" si="6"/>
        <v>1.0178674185752099</v>
      </c>
      <c r="AE48" cm="1">
        <f t="array" ref="AE48">_xlfn.IFS(AD48&gt;0.9,0,AD48&lt;0.01,0)</f>
        <v>0</v>
      </c>
      <c r="AN48">
        <v>12.5</v>
      </c>
      <c r="AO48">
        <v>44.5</v>
      </c>
      <c r="AP48">
        <f t="shared" si="7"/>
        <v>3</v>
      </c>
      <c r="AQ48">
        <f t="shared" si="8"/>
        <v>0.23496754540708037</v>
      </c>
      <c r="AR48" t="e" cm="1">
        <f t="array" ref="AR48">_xlfn.IFS(AQ48&gt;0.9,0,AQ48&lt;0.01,0)</f>
        <v>#N/A</v>
      </c>
      <c r="BA48">
        <v>12.5</v>
      </c>
      <c r="BB48">
        <v>100.25</v>
      </c>
      <c r="BC48">
        <f t="shared" si="9"/>
        <v>-5.25</v>
      </c>
      <c r="BD48">
        <f t="shared" si="10"/>
        <v>1.004219980412921</v>
      </c>
      <c r="BE48" cm="1">
        <f t="array" ref="BE48">_xlfn.IFS(BD48&gt;0.9,0,BD48&lt;0.01,0)</f>
        <v>0</v>
      </c>
      <c r="BN48">
        <v>12.5</v>
      </c>
      <c r="BO48">
        <v>6.75</v>
      </c>
      <c r="BP48">
        <f t="shared" si="11"/>
        <v>-2.5</v>
      </c>
      <c r="BQ48">
        <f t="shared" si="12"/>
        <v>0.99820453337002968</v>
      </c>
      <c r="BR48" cm="1">
        <f t="array" ref="BR48">_xlfn.IFS(BQ48&gt;0.9,0,BQ48&lt;0.01,0)</f>
        <v>0</v>
      </c>
      <c r="CA48">
        <v>12.5</v>
      </c>
      <c r="CB48">
        <v>92.75</v>
      </c>
      <c r="CC48">
        <f t="shared" si="13"/>
        <v>-10.75</v>
      </c>
      <c r="CD48">
        <f t="shared" si="14"/>
        <v>1.0038145771340479</v>
      </c>
      <c r="CE48" cm="1">
        <f t="array" ref="CE48">_xlfn.IFS(CD48&gt;0.9,0,CD48&lt;0.01,0)</f>
        <v>0</v>
      </c>
      <c r="CN48">
        <v>12.5</v>
      </c>
      <c r="CO48">
        <v>6.25</v>
      </c>
      <c r="CP48">
        <f t="shared" si="15"/>
        <v>-1.5</v>
      </c>
      <c r="CQ48">
        <f t="shared" si="16"/>
        <v>1.0027309927700654</v>
      </c>
      <c r="CR48" cm="1">
        <f t="array" ref="CR48">_xlfn.IFS(CQ48&gt;0.9,0,CQ48&lt;0.01,0)</f>
        <v>0</v>
      </c>
      <c r="DA48">
        <v>12.5</v>
      </c>
      <c r="DB48">
        <v>8.25</v>
      </c>
      <c r="DC48">
        <f t="shared" si="17"/>
        <v>-2.25</v>
      </c>
      <c r="DD48">
        <f t="shared" si="18"/>
        <v>1.0089577797982117</v>
      </c>
      <c r="DE48" cm="1">
        <f t="array" ref="DE48">_xlfn.IFS(DD48&gt;0.9,0,DD48&lt;0.01,0)</f>
        <v>0</v>
      </c>
      <c r="DN48">
        <v>12.5</v>
      </c>
      <c r="DO48">
        <v>5.5</v>
      </c>
      <c r="DP48">
        <f t="shared" si="19"/>
        <v>-0.75</v>
      </c>
      <c r="DQ48">
        <f t="shared" si="20"/>
        <v>1.002125284240954</v>
      </c>
      <c r="DR48" cm="1">
        <f t="array" ref="DR48">_xlfn.IFS(DQ48&gt;0.9,0,DQ48&lt;0.01,0)</f>
        <v>0</v>
      </c>
    </row>
    <row r="49" spans="1:122" x14ac:dyDescent="0.4">
      <c r="A49">
        <v>12.75</v>
      </c>
      <c r="B49">
        <v>10.75</v>
      </c>
      <c r="C49">
        <f t="shared" si="0"/>
        <v>0.55000000000000071</v>
      </c>
      <c r="D49">
        <f t="shared" si="1"/>
        <v>0.9358296985386777</v>
      </c>
      <c r="E49" cm="1">
        <f t="array" ref="E49">_xlfn.IFS(D49&gt;0.9,0,D49&lt;0.01,0)</f>
        <v>0</v>
      </c>
      <c r="N49">
        <v>12.75</v>
      </c>
      <c r="O49">
        <f t="shared" si="22"/>
        <v>102.5</v>
      </c>
      <c r="P49">
        <f t="shared" si="3"/>
        <v>-9.25</v>
      </c>
      <c r="Q49">
        <f t="shared" si="4"/>
        <v>1.0056110520722636</v>
      </c>
      <c r="R49" cm="1">
        <f t="array" ref="R49">_xlfn.IFS(Q49&gt;0.9,0,Q49&lt;0.01,0)</f>
        <v>0</v>
      </c>
      <c r="AA49">
        <v>11.75</v>
      </c>
      <c r="AB49">
        <v>6.75</v>
      </c>
      <c r="AC49">
        <f t="shared" si="5"/>
        <v>-1.25</v>
      </c>
      <c r="AD49">
        <f t="shared" si="6"/>
        <v>1.0178674185752099</v>
      </c>
      <c r="AE49" cm="1">
        <f t="array" ref="AE49">_xlfn.IFS(AD49&gt;0.9,0,AD49&lt;0.01,0)</f>
        <v>0</v>
      </c>
      <c r="AN49">
        <v>12.75</v>
      </c>
      <c r="AO49">
        <v>43.75</v>
      </c>
      <c r="AP49">
        <f t="shared" si="7"/>
        <v>3.25</v>
      </c>
      <c r="AQ49">
        <f t="shared" si="8"/>
        <v>0.22491141023779437</v>
      </c>
      <c r="AR49" t="e" cm="1">
        <f t="array" ref="AR49">_xlfn.IFS(AQ49&gt;0.9,0,AQ49&lt;0.01,0)</f>
        <v>#N/A</v>
      </c>
      <c r="BA49">
        <v>12.75</v>
      </c>
      <c r="BB49">
        <v>100.5</v>
      </c>
      <c r="BC49">
        <f t="shared" si="9"/>
        <v>-5</v>
      </c>
      <c r="BD49">
        <f t="shared" si="10"/>
        <v>1.0069102179261582</v>
      </c>
      <c r="BE49" cm="1">
        <f t="array" ref="BE49">_xlfn.IFS(BD49&gt;0.9,0,BD49&lt;0.01,0)</f>
        <v>0</v>
      </c>
      <c r="BN49">
        <v>12.75</v>
      </c>
      <c r="BO49">
        <v>6.75</v>
      </c>
      <c r="BP49">
        <f t="shared" si="11"/>
        <v>-2.25</v>
      </c>
      <c r="BQ49">
        <f t="shared" si="12"/>
        <v>0.99820453337002968</v>
      </c>
      <c r="BR49" cm="1">
        <f t="array" ref="BR49">_xlfn.IFS(BQ49&gt;0.9,0,BQ49&lt;0.01,0)</f>
        <v>0</v>
      </c>
      <c r="CA49">
        <v>12.75</v>
      </c>
      <c r="CB49">
        <v>92.5</v>
      </c>
      <c r="CC49">
        <f t="shared" si="13"/>
        <v>-10.5</v>
      </c>
      <c r="CD49">
        <f t="shared" si="14"/>
        <v>1.000836530073256</v>
      </c>
      <c r="CE49" cm="1">
        <f t="array" ref="CE49">_xlfn.IFS(CD49&gt;0.9,0,CD49&lt;0.01,0)</f>
        <v>0</v>
      </c>
      <c r="CN49">
        <v>12.75</v>
      </c>
      <c r="CO49">
        <v>6.25</v>
      </c>
      <c r="CP49">
        <f t="shared" si="15"/>
        <v>-1.25</v>
      </c>
      <c r="CQ49">
        <f t="shared" si="16"/>
        <v>1.0027309927700654</v>
      </c>
      <c r="CR49" cm="1">
        <f t="array" ref="CR49">_xlfn.IFS(CQ49&gt;0.9,0,CQ49&lt;0.01,0)</f>
        <v>0</v>
      </c>
      <c r="DA49">
        <v>12.75</v>
      </c>
      <c r="DB49">
        <v>8.25</v>
      </c>
      <c r="DC49">
        <f t="shared" si="17"/>
        <v>-2</v>
      </c>
      <c r="DD49">
        <f t="shared" si="18"/>
        <v>1.0089577797982117</v>
      </c>
      <c r="DE49" cm="1">
        <f t="array" ref="DE49">_xlfn.IFS(DD49&gt;0.9,0,DD49&lt;0.01,0)</f>
        <v>0</v>
      </c>
      <c r="DN49">
        <v>12.75</v>
      </c>
      <c r="DO49">
        <v>6</v>
      </c>
      <c r="DP49">
        <f t="shared" si="19"/>
        <v>-0.5</v>
      </c>
      <c r="DQ49">
        <f t="shared" si="20"/>
        <v>0.99681207363856883</v>
      </c>
      <c r="DR49" cm="1">
        <f t="array" ref="DR49">_xlfn.IFS(DQ49&gt;0.9,0,DQ49&lt;0.01,0)</f>
        <v>0</v>
      </c>
    </row>
    <row r="50" spans="1:122" x14ac:dyDescent="0.4">
      <c r="A50">
        <v>13</v>
      </c>
      <c r="B50">
        <v>27</v>
      </c>
      <c r="C50">
        <f t="shared" si="0"/>
        <v>0.80000000000000071</v>
      </c>
      <c r="D50">
        <f t="shared" si="1"/>
        <v>0.76512756208907451</v>
      </c>
      <c r="E50" t="e" cm="1">
        <f t="array" ref="E50">_xlfn.IFS(D50&gt;0.9,0,D50&lt;0.01,0)</f>
        <v>#N/A</v>
      </c>
      <c r="F50">
        <v>27</v>
      </c>
      <c r="N50">
        <v>13</v>
      </c>
      <c r="O50">
        <f t="shared" si="22"/>
        <v>102.5</v>
      </c>
      <c r="P50">
        <f t="shared" si="3"/>
        <v>-9</v>
      </c>
      <c r="Q50">
        <f t="shared" si="4"/>
        <v>1.0056110520722636</v>
      </c>
      <c r="R50" cm="1">
        <f t="array" ref="R50">_xlfn.IFS(Q50&gt;0.9,0,Q50&lt;0.01,0)</f>
        <v>0</v>
      </c>
      <c r="AA50">
        <v>12</v>
      </c>
      <c r="AB50">
        <v>6.75</v>
      </c>
      <c r="AC50">
        <f t="shared" si="5"/>
        <v>-1</v>
      </c>
      <c r="AD50">
        <f t="shared" si="6"/>
        <v>1.0178674185752099</v>
      </c>
      <c r="AE50" cm="1">
        <f t="array" ref="AE50">_xlfn.IFS(AD50&gt;0.9,0,AD50&lt;0.01,0)</f>
        <v>0</v>
      </c>
      <c r="AN50">
        <v>13</v>
      </c>
      <c r="AO50">
        <v>42.5</v>
      </c>
      <c r="AP50">
        <f t="shared" si="7"/>
        <v>3.5</v>
      </c>
      <c r="AQ50">
        <f t="shared" si="8"/>
        <v>0.20815118495565105</v>
      </c>
      <c r="AR50" t="e" cm="1">
        <f t="array" ref="AR50">_xlfn.IFS(AQ50&gt;0.9,0,AQ50&lt;0.01,0)</f>
        <v>#N/A</v>
      </c>
      <c r="BA50">
        <v>13</v>
      </c>
      <c r="BB50">
        <v>100.25</v>
      </c>
      <c r="BC50">
        <f t="shared" si="9"/>
        <v>-4.75</v>
      </c>
      <c r="BD50">
        <f t="shared" si="10"/>
        <v>1.004219980412921</v>
      </c>
      <c r="BE50" cm="1">
        <f t="array" ref="BE50">_xlfn.IFS(BD50&gt;0.9,0,BD50&lt;0.01,0)</f>
        <v>0</v>
      </c>
      <c r="BN50">
        <v>13</v>
      </c>
      <c r="BO50">
        <v>6.75</v>
      </c>
      <c r="BP50">
        <f t="shared" si="11"/>
        <v>-2</v>
      </c>
      <c r="BQ50">
        <f t="shared" si="12"/>
        <v>0.99820453337002968</v>
      </c>
      <c r="BR50" cm="1">
        <f t="array" ref="BR50">_xlfn.IFS(BQ50&gt;0.9,0,BQ50&lt;0.01,0)</f>
        <v>0</v>
      </c>
      <c r="CA50">
        <v>13</v>
      </c>
      <c r="CB50">
        <v>92.75</v>
      </c>
      <c r="CC50">
        <f t="shared" si="13"/>
        <v>-10.25</v>
      </c>
      <c r="CD50">
        <f t="shared" si="14"/>
        <v>1.0038145771340479</v>
      </c>
      <c r="CE50" cm="1">
        <f t="array" ref="CE50">_xlfn.IFS(CD50&gt;0.9,0,CD50&lt;0.01,0)</f>
        <v>0</v>
      </c>
      <c r="CN50">
        <v>13</v>
      </c>
      <c r="CO50">
        <v>5.75</v>
      </c>
      <c r="CP50">
        <f t="shared" si="15"/>
        <v>-1</v>
      </c>
      <c r="CQ50">
        <f t="shared" si="16"/>
        <v>1.0082960346411418</v>
      </c>
      <c r="CR50" cm="1">
        <f t="array" ref="CR50">_xlfn.IFS(CQ50&gt;0.9,0,CQ50&lt;0.01,0)</f>
        <v>0</v>
      </c>
      <c r="DA50">
        <v>13</v>
      </c>
      <c r="DB50">
        <v>8.25</v>
      </c>
      <c r="DC50">
        <f t="shared" si="17"/>
        <v>-1.75</v>
      </c>
      <c r="DD50">
        <f t="shared" si="18"/>
        <v>1.0089577797982117</v>
      </c>
      <c r="DE50" cm="1">
        <f t="array" ref="DE50">_xlfn.IFS(DD50&gt;0.9,0,DD50&lt;0.01,0)</f>
        <v>0</v>
      </c>
      <c r="DN50">
        <v>13</v>
      </c>
      <c r="DO50">
        <v>6</v>
      </c>
      <c r="DP50">
        <f t="shared" si="19"/>
        <v>-0.25</v>
      </c>
      <c r="DQ50">
        <f t="shared" si="20"/>
        <v>0.99681207363856883</v>
      </c>
      <c r="DR50" cm="1">
        <f t="array" ref="DR50">_xlfn.IFS(DQ50&gt;0.9,0,DQ50&lt;0.01,0)</f>
        <v>0</v>
      </c>
    </row>
    <row r="51" spans="1:122" x14ac:dyDescent="0.4">
      <c r="A51">
        <v>13.25</v>
      </c>
      <c r="B51">
        <v>39.75</v>
      </c>
      <c r="C51">
        <f t="shared" si="0"/>
        <v>1.0500000000000007</v>
      </c>
      <c r="D51">
        <f t="shared" si="1"/>
        <v>0.63119203964400128</v>
      </c>
      <c r="E51" t="e" cm="1">
        <f t="array" ref="E51">_xlfn.IFS(D51&gt;0.9,0,D51&lt;0.01,0)</f>
        <v>#N/A</v>
      </c>
      <c r="F51">
        <v>39.75</v>
      </c>
      <c r="N51">
        <v>13.25</v>
      </c>
      <c r="O51">
        <f t="shared" si="22"/>
        <v>101.75</v>
      </c>
      <c r="P51">
        <f t="shared" si="3"/>
        <v>-8.75</v>
      </c>
      <c r="Q51">
        <f t="shared" si="4"/>
        <v>0.99767818534940822</v>
      </c>
      <c r="R51" cm="1">
        <f t="array" ref="R51">_xlfn.IFS(Q51&gt;0.9,0,Q51&lt;0.01,0)</f>
        <v>0</v>
      </c>
      <c r="AA51">
        <v>12.25</v>
      </c>
      <c r="AB51">
        <v>6.75</v>
      </c>
      <c r="AC51">
        <f t="shared" si="5"/>
        <v>-0.75</v>
      </c>
      <c r="AD51">
        <f t="shared" si="6"/>
        <v>1.0178674185752099</v>
      </c>
      <c r="AE51" cm="1">
        <f t="array" ref="AE51">_xlfn.IFS(AD51&gt;0.9,0,AD51&lt;0.01,0)</f>
        <v>0</v>
      </c>
      <c r="AN51">
        <v>13.25</v>
      </c>
      <c r="AO51">
        <v>41.25</v>
      </c>
      <c r="AP51">
        <f t="shared" si="7"/>
        <v>3.75</v>
      </c>
      <c r="AQ51">
        <f t="shared" si="8"/>
        <v>0.19139095967350772</v>
      </c>
      <c r="AR51" t="e" cm="1">
        <f t="array" ref="AR51">_xlfn.IFS(AQ51&gt;0.9,0,AQ51&lt;0.01,0)</f>
        <v>#N/A</v>
      </c>
      <c r="BA51">
        <v>13.25</v>
      </c>
      <c r="BB51">
        <v>100.5</v>
      </c>
      <c r="BC51">
        <f t="shared" si="9"/>
        <v>-4.5</v>
      </c>
      <c r="BD51">
        <f t="shared" si="10"/>
        <v>1.0069102179261582</v>
      </c>
      <c r="BE51" cm="1">
        <f t="array" ref="BE51">_xlfn.IFS(BD51&gt;0.9,0,BD51&lt;0.01,0)</f>
        <v>0</v>
      </c>
      <c r="BN51">
        <v>13.25</v>
      </c>
      <c r="BO51">
        <v>6.75</v>
      </c>
      <c r="BP51">
        <f t="shared" si="11"/>
        <v>-1.75</v>
      </c>
      <c r="BQ51">
        <f t="shared" si="12"/>
        <v>0.99820453337002968</v>
      </c>
      <c r="BR51" cm="1">
        <f t="array" ref="BR51">_xlfn.IFS(BQ51&gt;0.9,0,BQ51&lt;0.01,0)</f>
        <v>0</v>
      </c>
      <c r="CA51">
        <v>13.25</v>
      </c>
      <c r="CB51">
        <v>92.75</v>
      </c>
      <c r="CC51">
        <f t="shared" si="13"/>
        <v>-10</v>
      </c>
      <c r="CD51">
        <f t="shared" si="14"/>
        <v>1.0038145771340479</v>
      </c>
      <c r="CE51" cm="1">
        <f t="array" ref="CE51">_xlfn.IFS(CD51&gt;0.9,0,CD51&lt;0.01,0)</f>
        <v>0</v>
      </c>
      <c r="CN51">
        <v>13.25</v>
      </c>
      <c r="CO51">
        <v>4.75</v>
      </c>
      <c r="CP51">
        <f t="shared" si="15"/>
        <v>-0.75</v>
      </c>
      <c r="CQ51">
        <f t="shared" si="16"/>
        <v>1.0194261183832949</v>
      </c>
      <c r="CR51" cm="1">
        <f t="array" ref="CR51">_xlfn.IFS(CQ51&gt;0.9,0,CQ51&lt;0.01,0)</f>
        <v>0</v>
      </c>
      <c r="DA51">
        <v>13.25</v>
      </c>
      <c r="DB51">
        <v>8.25</v>
      </c>
      <c r="DC51">
        <f t="shared" si="17"/>
        <v>-1.5</v>
      </c>
      <c r="DD51">
        <f t="shared" si="18"/>
        <v>1.0089577797982117</v>
      </c>
      <c r="DE51" cm="1">
        <f t="array" ref="DE51">_xlfn.IFS(DD51&gt;0.9,0,DD51&lt;0.01,0)</f>
        <v>0</v>
      </c>
      <c r="DN51">
        <v>13.25</v>
      </c>
      <c r="DO51">
        <v>6</v>
      </c>
      <c r="DP51">
        <f t="shared" si="19"/>
        <v>0</v>
      </c>
      <c r="DQ51">
        <f t="shared" si="20"/>
        <v>0.99681207363856883</v>
      </c>
      <c r="DR51" cm="1">
        <f t="array" ref="DR51">_xlfn.IFS(DQ51&gt;0.9,0,DQ51&lt;0.01,0)</f>
        <v>0</v>
      </c>
    </row>
    <row r="52" spans="1:122" x14ac:dyDescent="0.4">
      <c r="A52">
        <v>13.5</v>
      </c>
      <c r="B52">
        <v>50.75</v>
      </c>
      <c r="C52">
        <f t="shared" si="0"/>
        <v>1.3000000000000007</v>
      </c>
      <c r="D52">
        <f t="shared" si="1"/>
        <v>0.51563982420119292</v>
      </c>
      <c r="E52" t="e" cm="1">
        <f t="array" ref="E52">_xlfn.IFS(D52&gt;0.9,0,D52&lt;0.01,0)</f>
        <v>#N/A</v>
      </c>
      <c r="F52">
        <v>50.75</v>
      </c>
      <c r="N52">
        <v>13.5</v>
      </c>
      <c r="O52">
        <f t="shared" si="22"/>
        <v>102</v>
      </c>
      <c r="P52">
        <f t="shared" si="3"/>
        <v>-8.5</v>
      </c>
      <c r="Q52">
        <f t="shared" si="4"/>
        <v>1.0003224742570267</v>
      </c>
      <c r="R52" cm="1">
        <f t="array" ref="R52">_xlfn.IFS(Q52&gt;0.9,0,Q52&lt;0.01,0)</f>
        <v>0</v>
      </c>
      <c r="AA52">
        <v>12.5</v>
      </c>
      <c r="AB52">
        <v>6.75</v>
      </c>
      <c r="AC52">
        <f t="shared" si="5"/>
        <v>-0.5</v>
      </c>
      <c r="AD52">
        <f t="shared" si="6"/>
        <v>1.0178674185752099</v>
      </c>
      <c r="AE52" cm="1">
        <f t="array" ref="AE52">_xlfn.IFS(AD52&gt;0.9,0,AD52&lt;0.01,0)</f>
        <v>0</v>
      </c>
      <c r="AN52">
        <v>13.5</v>
      </c>
      <c r="AO52">
        <v>40.5</v>
      </c>
      <c r="AP52">
        <f t="shared" si="7"/>
        <v>4</v>
      </c>
      <c r="AQ52">
        <f t="shared" si="8"/>
        <v>0.18133482450422173</v>
      </c>
      <c r="AR52" t="e" cm="1">
        <f t="array" ref="AR52">_xlfn.IFS(AQ52&gt;0.9,0,AQ52&lt;0.01,0)</f>
        <v>#N/A</v>
      </c>
      <c r="BA52">
        <v>13.5</v>
      </c>
      <c r="BB52">
        <v>100.25</v>
      </c>
      <c r="BC52">
        <f t="shared" si="9"/>
        <v>-4.25</v>
      </c>
      <c r="BD52">
        <f t="shared" si="10"/>
        <v>1.004219980412921</v>
      </c>
      <c r="BE52" cm="1">
        <f t="array" ref="BE52">_xlfn.IFS(BD52&gt;0.9,0,BD52&lt;0.01,0)</f>
        <v>0</v>
      </c>
      <c r="BN52">
        <v>13.5</v>
      </c>
      <c r="BO52">
        <v>6.75</v>
      </c>
      <c r="BP52">
        <f t="shared" si="11"/>
        <v>-1.5</v>
      </c>
      <c r="BQ52">
        <f t="shared" si="12"/>
        <v>0.99820453337002968</v>
      </c>
      <c r="BR52" cm="1">
        <f t="array" ref="BR52">_xlfn.IFS(BQ52&gt;0.9,0,BQ52&lt;0.01,0)</f>
        <v>0</v>
      </c>
      <c r="CA52">
        <v>13.5</v>
      </c>
      <c r="CB52">
        <v>92.5</v>
      </c>
      <c r="CC52">
        <f t="shared" si="13"/>
        <v>-9.75</v>
      </c>
      <c r="CD52">
        <f t="shared" si="14"/>
        <v>1.000836530073256</v>
      </c>
      <c r="CE52" cm="1">
        <f t="array" ref="CE52">_xlfn.IFS(CD52&gt;0.9,0,CD52&lt;0.01,0)</f>
        <v>0</v>
      </c>
      <c r="CN52">
        <v>13.5</v>
      </c>
      <c r="CO52">
        <v>4.75</v>
      </c>
      <c r="CP52">
        <f t="shared" si="15"/>
        <v>-0.5</v>
      </c>
      <c r="CQ52">
        <f t="shared" si="16"/>
        <v>1.0194261183832949</v>
      </c>
      <c r="CR52" cm="1">
        <f t="array" ref="CR52">_xlfn.IFS(CQ52&gt;0.9,0,CQ52&lt;0.01,0)</f>
        <v>0</v>
      </c>
      <c r="DA52">
        <v>13.5</v>
      </c>
      <c r="DB52">
        <v>8.25</v>
      </c>
      <c r="DC52">
        <f t="shared" si="17"/>
        <v>-1.25</v>
      </c>
      <c r="DD52">
        <f t="shared" si="18"/>
        <v>1.0089577797982117</v>
      </c>
      <c r="DE52" cm="1">
        <f t="array" ref="DE52">_xlfn.IFS(DD52&gt;0.9,0,DD52&lt;0.01,0)</f>
        <v>0</v>
      </c>
      <c r="DN52">
        <v>13.5</v>
      </c>
      <c r="DO52">
        <v>12</v>
      </c>
      <c r="DP52">
        <f t="shared" si="19"/>
        <v>0.25</v>
      </c>
      <c r="DQ52">
        <f t="shared" si="20"/>
        <v>0.93305354640994587</v>
      </c>
      <c r="DR52" cm="1">
        <f t="array" ref="DR52">_xlfn.IFS(DQ52&gt;0.9,0,DQ52&lt;0.01,0)</f>
        <v>0</v>
      </c>
    </row>
    <row r="53" spans="1:122" x14ac:dyDescent="0.4">
      <c r="A53">
        <v>13.75</v>
      </c>
      <c r="B53">
        <v>61.5</v>
      </c>
      <c r="C53">
        <f t="shared" si="0"/>
        <v>1.5500000000000007</v>
      </c>
      <c r="D53">
        <f t="shared" si="1"/>
        <v>0.40271379547299396</v>
      </c>
      <c r="E53" t="e" cm="1">
        <f t="array" ref="E53">_xlfn.IFS(D53&gt;0.9,0,D53&lt;0.01,0)</f>
        <v>#N/A</v>
      </c>
      <c r="F53">
        <v>61.5</v>
      </c>
      <c r="N53">
        <v>13.75</v>
      </c>
      <c r="O53">
        <v>101.75</v>
      </c>
      <c r="P53">
        <f t="shared" si="3"/>
        <v>-8.25</v>
      </c>
      <c r="Q53">
        <f t="shared" si="4"/>
        <v>0.99767818534940822</v>
      </c>
      <c r="R53" cm="1">
        <f t="array" ref="R53">_xlfn.IFS(Q53&gt;0.9,0,Q53&lt;0.01,0)</f>
        <v>0</v>
      </c>
      <c r="AA53">
        <v>12.75</v>
      </c>
      <c r="AB53">
        <v>6.5</v>
      </c>
      <c r="AC53">
        <f t="shared" si="5"/>
        <v>-0.25</v>
      </c>
      <c r="AD53">
        <f t="shared" si="6"/>
        <v>1.0310737714351477</v>
      </c>
      <c r="AE53" cm="1">
        <f t="array" ref="AE53">_xlfn.IFS(AD53&gt;0.9,0,AD53&lt;0.01,0)</f>
        <v>0</v>
      </c>
      <c r="AN53">
        <v>13.75</v>
      </c>
      <c r="AO53">
        <v>39.75</v>
      </c>
      <c r="AP53">
        <f t="shared" si="7"/>
        <v>4.25</v>
      </c>
      <c r="AQ53">
        <f t="shared" si="8"/>
        <v>0.17127868933493573</v>
      </c>
      <c r="AR53" t="e" cm="1">
        <f t="array" ref="AR53">_xlfn.IFS(AQ53&gt;0.9,0,AQ53&lt;0.01,0)</f>
        <v>#N/A</v>
      </c>
      <c r="BA53">
        <v>13.75</v>
      </c>
      <c r="BB53">
        <v>100.25</v>
      </c>
      <c r="BC53">
        <f t="shared" si="9"/>
        <v>-4</v>
      </c>
      <c r="BD53">
        <f t="shared" si="10"/>
        <v>1.004219980412921</v>
      </c>
      <c r="BE53" cm="1">
        <f t="array" ref="BE53">_xlfn.IFS(BD53&gt;0.9,0,BD53&lt;0.01,0)</f>
        <v>0</v>
      </c>
      <c r="BN53">
        <v>13.75</v>
      </c>
      <c r="BO53">
        <v>6.75</v>
      </c>
      <c r="BP53">
        <f t="shared" si="11"/>
        <v>-1.25</v>
      </c>
      <c r="BQ53">
        <f t="shared" si="12"/>
        <v>0.99820453337002968</v>
      </c>
      <c r="BR53" cm="1">
        <f t="array" ref="BR53">_xlfn.IFS(BQ53&gt;0.9,0,BQ53&lt;0.01,0)</f>
        <v>0</v>
      </c>
      <c r="CA53">
        <v>13.75</v>
      </c>
      <c r="CB53">
        <v>92.5</v>
      </c>
      <c r="CC53">
        <f t="shared" si="13"/>
        <v>-9.5</v>
      </c>
      <c r="CD53">
        <f t="shared" si="14"/>
        <v>1.000836530073256</v>
      </c>
      <c r="CE53" cm="1">
        <f t="array" ref="CE53">_xlfn.IFS(CD53&gt;0.9,0,CD53&lt;0.01,0)</f>
        <v>0</v>
      </c>
      <c r="CN53">
        <v>13.75</v>
      </c>
      <c r="CO53">
        <v>5</v>
      </c>
      <c r="CP53">
        <f t="shared" si="15"/>
        <v>-0.25</v>
      </c>
      <c r="CQ53">
        <f t="shared" si="16"/>
        <v>1.0166435974477566</v>
      </c>
      <c r="CR53" cm="1">
        <f t="array" ref="CR53">_xlfn.IFS(CQ53&gt;0.9,0,CQ53&lt;0.01,0)</f>
        <v>0</v>
      </c>
      <c r="DA53">
        <v>13.75</v>
      </c>
      <c r="DB53">
        <v>8</v>
      </c>
      <c r="DC53">
        <f t="shared" si="17"/>
        <v>-1</v>
      </c>
      <c r="DD53">
        <f t="shared" si="18"/>
        <v>1.0117701060139292</v>
      </c>
      <c r="DE53" cm="1">
        <f t="array" ref="DE53">_xlfn.IFS(DD53&gt;0.9,0,DD53&lt;0.01,0)</f>
        <v>0</v>
      </c>
      <c r="DN53">
        <v>13.75</v>
      </c>
      <c r="DO53">
        <v>43.25</v>
      </c>
      <c r="DP53">
        <f t="shared" si="19"/>
        <v>0.5</v>
      </c>
      <c r="DQ53">
        <f t="shared" si="20"/>
        <v>0.60097788376086758</v>
      </c>
      <c r="DR53" t="e" cm="1">
        <f t="array" ref="DR53">_xlfn.IFS(DQ53&gt;0.9,0,DQ53&lt;0.01,0)</f>
        <v>#N/A</v>
      </c>
    </row>
    <row r="54" spans="1:122" x14ac:dyDescent="0.4">
      <c r="A54">
        <v>14</v>
      </c>
      <c r="B54">
        <v>67.75</v>
      </c>
      <c r="C54">
        <f t="shared" si="0"/>
        <v>1.8000000000000007</v>
      </c>
      <c r="D54">
        <f t="shared" si="1"/>
        <v>0.33705912760776197</v>
      </c>
      <c r="E54" t="e" cm="1">
        <f t="array" ref="E54">_xlfn.IFS(D54&gt;0.9,0,D54&lt;0.01,0)</f>
        <v>#N/A</v>
      </c>
      <c r="F54">
        <v>67.75</v>
      </c>
      <c r="N54">
        <v>14</v>
      </c>
      <c r="O54">
        <v>101.75</v>
      </c>
      <c r="P54">
        <f t="shared" si="3"/>
        <v>-8</v>
      </c>
      <c r="Q54">
        <f t="shared" si="4"/>
        <v>0.99767818534940822</v>
      </c>
      <c r="R54" cm="1">
        <f t="array" ref="R54">_xlfn.IFS(Q54&gt;0.9,0,Q54&lt;0.01,0)</f>
        <v>0</v>
      </c>
      <c r="AA54">
        <v>13</v>
      </c>
      <c r="AB54">
        <v>6.25</v>
      </c>
      <c r="AC54">
        <f t="shared" si="5"/>
        <v>0</v>
      </c>
      <c r="AD54">
        <f t="shared" si="6"/>
        <v>1.0442801242950857</v>
      </c>
      <c r="AE54" cm="1">
        <f t="array" ref="AE54">_xlfn.IFS(AD54&gt;0.9,0,AD54&lt;0.01,0)</f>
        <v>0</v>
      </c>
      <c r="AN54">
        <v>14</v>
      </c>
      <c r="AO54">
        <v>38.75</v>
      </c>
      <c r="AP54">
        <f t="shared" si="7"/>
        <v>4.5</v>
      </c>
      <c r="AQ54">
        <f t="shared" si="8"/>
        <v>0.15787050910922104</v>
      </c>
      <c r="AR54" t="e" cm="1">
        <f t="array" ref="AR54">_xlfn.IFS(AQ54&gt;0.9,0,AQ54&lt;0.01,0)</f>
        <v>#N/A</v>
      </c>
      <c r="BA54">
        <v>14</v>
      </c>
      <c r="BB54">
        <v>100.25</v>
      </c>
      <c r="BC54">
        <f t="shared" si="9"/>
        <v>-3.75</v>
      </c>
      <c r="BD54">
        <f t="shared" si="10"/>
        <v>1.004219980412921</v>
      </c>
      <c r="BE54" cm="1">
        <f t="array" ref="BE54">_xlfn.IFS(BD54&gt;0.9,0,BD54&lt;0.01,0)</f>
        <v>0</v>
      </c>
      <c r="BN54">
        <v>14</v>
      </c>
      <c r="BO54">
        <v>6.5</v>
      </c>
      <c r="BP54">
        <f t="shared" si="11"/>
        <v>-1</v>
      </c>
      <c r="BQ54">
        <f t="shared" si="12"/>
        <v>1.0011798780711232</v>
      </c>
      <c r="BR54" cm="1">
        <f t="array" ref="BR54">_xlfn.IFS(BQ54&gt;0.9,0,BQ54&lt;0.01,0)</f>
        <v>0</v>
      </c>
      <c r="CA54">
        <v>14</v>
      </c>
      <c r="CB54">
        <v>92.5</v>
      </c>
      <c r="CC54">
        <f t="shared" si="13"/>
        <v>-9.25</v>
      </c>
      <c r="CD54">
        <f t="shared" si="14"/>
        <v>1.000836530073256</v>
      </c>
      <c r="CE54" cm="1">
        <f t="array" ref="CE54">_xlfn.IFS(CD54&gt;0.9,0,CD54&lt;0.01,0)</f>
        <v>0</v>
      </c>
      <c r="CN54">
        <v>14</v>
      </c>
      <c r="CO54">
        <v>5.25</v>
      </c>
      <c r="CP54">
        <f t="shared" si="15"/>
        <v>0</v>
      </c>
      <c r="CQ54">
        <f t="shared" si="16"/>
        <v>1.0138610765122185</v>
      </c>
      <c r="CR54" cm="1">
        <f t="array" ref="CR54">_xlfn.IFS(CQ54&gt;0.9,0,CQ54&lt;0.01,0)</f>
        <v>0</v>
      </c>
      <c r="DA54">
        <v>14</v>
      </c>
      <c r="DB54">
        <v>8</v>
      </c>
      <c r="DC54">
        <f t="shared" si="17"/>
        <v>-0.75</v>
      </c>
      <c r="DD54">
        <f t="shared" si="18"/>
        <v>1.0117701060139292</v>
      </c>
      <c r="DE54" cm="1">
        <f t="array" ref="DE54">_xlfn.IFS(DD54&gt;0.9,0,DD54&lt;0.01,0)</f>
        <v>0</v>
      </c>
      <c r="DN54">
        <v>14</v>
      </c>
      <c r="DO54">
        <v>59.5</v>
      </c>
      <c r="DP54">
        <f t="shared" si="19"/>
        <v>0.75</v>
      </c>
      <c r="DQ54">
        <f t="shared" si="20"/>
        <v>0.42829853918334687</v>
      </c>
      <c r="DR54" t="e" cm="1">
        <f t="array" ref="DR54">_xlfn.IFS(DQ54&gt;0.9,0,DQ54&lt;0.01,0)</f>
        <v>#N/A</v>
      </c>
    </row>
    <row r="55" spans="1:122" x14ac:dyDescent="0.4">
      <c r="A55">
        <v>14.250999999999999</v>
      </c>
      <c r="B55">
        <v>72.5</v>
      </c>
      <c r="C55">
        <f t="shared" si="0"/>
        <v>2.0510000000000002</v>
      </c>
      <c r="D55">
        <f t="shared" si="1"/>
        <v>0.28716158003018566</v>
      </c>
      <c r="E55" t="e" cm="1">
        <f t="array" ref="E55">_xlfn.IFS(D55&gt;0.9,0,D55&lt;0.01,0)</f>
        <v>#N/A</v>
      </c>
      <c r="F55">
        <v>72.5</v>
      </c>
      <c r="N55">
        <v>14.250999999999999</v>
      </c>
      <c r="O55">
        <v>101.75</v>
      </c>
      <c r="P55">
        <f t="shared" si="3"/>
        <v>-7.7490000000000006</v>
      </c>
      <c r="Q55">
        <f t="shared" si="4"/>
        <v>0.99767818534940822</v>
      </c>
      <c r="R55" cm="1">
        <f t="array" ref="R55">_xlfn.IFS(Q55&gt;0.9,0,Q55&lt;0.01,0)</f>
        <v>0</v>
      </c>
      <c r="AA55">
        <v>13.25</v>
      </c>
      <c r="AB55">
        <v>6.75</v>
      </c>
      <c r="AC55">
        <f t="shared" si="5"/>
        <v>0.25</v>
      </c>
      <c r="AD55">
        <f t="shared" si="6"/>
        <v>1.0178674185752099</v>
      </c>
      <c r="AE55" cm="1">
        <f t="array" ref="AE55">_xlfn.IFS(AD55&gt;0.9,0,AD55&lt;0.01,0)</f>
        <v>0</v>
      </c>
      <c r="AN55">
        <v>14.25</v>
      </c>
      <c r="AO55">
        <v>38</v>
      </c>
      <c r="AP55">
        <f t="shared" si="7"/>
        <v>4.75</v>
      </c>
      <c r="AQ55">
        <f t="shared" si="8"/>
        <v>0.14781437393993505</v>
      </c>
      <c r="AR55" t="e" cm="1">
        <f t="array" ref="AR55">_xlfn.IFS(AQ55&gt;0.9,0,AQ55&lt;0.01,0)</f>
        <v>#N/A</v>
      </c>
      <c r="BA55">
        <v>14.25</v>
      </c>
      <c r="BB55">
        <v>100.25</v>
      </c>
      <c r="BC55">
        <f t="shared" si="9"/>
        <v>-3.5</v>
      </c>
      <c r="BD55">
        <f t="shared" si="10"/>
        <v>1.004219980412921</v>
      </c>
      <c r="BE55" cm="1">
        <f t="array" ref="BE55">_xlfn.IFS(BD55&gt;0.9,0,BD55&lt;0.01,0)</f>
        <v>0</v>
      </c>
      <c r="BN55">
        <v>14.250999999999999</v>
      </c>
      <c r="BO55">
        <v>6.5</v>
      </c>
      <c r="BP55">
        <f t="shared" si="11"/>
        <v>-0.74900000000000055</v>
      </c>
      <c r="BQ55">
        <f t="shared" si="12"/>
        <v>1.0011798780711232</v>
      </c>
      <c r="BR55" cm="1">
        <f t="array" ref="BR55">_xlfn.IFS(BQ55&gt;0.9,0,BQ55&lt;0.01,0)</f>
        <v>0</v>
      </c>
      <c r="CA55">
        <v>14.250999999999999</v>
      </c>
      <c r="CB55">
        <v>92.5</v>
      </c>
      <c r="CC55">
        <f t="shared" si="13"/>
        <v>-8.9990000000000006</v>
      </c>
      <c r="CD55">
        <f t="shared" si="14"/>
        <v>1.000836530073256</v>
      </c>
      <c r="CE55" cm="1">
        <f t="array" ref="CE55">_xlfn.IFS(CD55&gt;0.9,0,CD55&lt;0.01,0)</f>
        <v>0</v>
      </c>
      <c r="CN55">
        <v>14.250999999999999</v>
      </c>
      <c r="CO55">
        <v>5.5</v>
      </c>
      <c r="CP55">
        <f t="shared" si="15"/>
        <v>0.25099999999999945</v>
      </c>
      <c r="CQ55">
        <f t="shared" si="16"/>
        <v>1.0110785555766801</v>
      </c>
      <c r="CR55" cm="1">
        <f t="array" ref="CR55">_xlfn.IFS(CQ55&gt;0.9,0,CQ55&lt;0.01,0)</f>
        <v>0</v>
      </c>
      <c r="DA55">
        <v>14.250999999999999</v>
      </c>
      <c r="DB55">
        <v>8</v>
      </c>
      <c r="DC55">
        <f t="shared" si="17"/>
        <v>-0.49900000000000055</v>
      </c>
      <c r="DD55">
        <f t="shared" si="18"/>
        <v>1.0117701060139292</v>
      </c>
      <c r="DE55" cm="1">
        <f t="array" ref="DE55">_xlfn.IFS(DD55&gt;0.9,0,DD55&lt;0.01,0)</f>
        <v>0</v>
      </c>
      <c r="DN55">
        <v>14.250999999999999</v>
      </c>
      <c r="DO55">
        <v>70.5</v>
      </c>
      <c r="DP55">
        <f t="shared" si="19"/>
        <v>1.0009999999999994</v>
      </c>
      <c r="DQ55">
        <f t="shared" si="20"/>
        <v>0.31140790593087131</v>
      </c>
      <c r="DR55" t="e" cm="1">
        <f t="array" ref="DR55">_xlfn.IFS(DQ55&gt;0.9,0,DQ55&lt;0.01,0)</f>
        <v>#N/A</v>
      </c>
    </row>
    <row r="56" spans="1:122" x14ac:dyDescent="0.4">
      <c r="A56">
        <v>14.5</v>
      </c>
      <c r="B56">
        <v>77.5</v>
      </c>
      <c r="C56">
        <f t="shared" si="0"/>
        <v>2.3000000000000007</v>
      </c>
      <c r="D56">
        <f t="shared" si="1"/>
        <v>0.23463784573800006</v>
      </c>
      <c r="E56" t="e" cm="1">
        <f t="array" ref="E56">_xlfn.IFS(D56&gt;0.9,0,D56&lt;0.01,0)</f>
        <v>#N/A</v>
      </c>
      <c r="F56">
        <v>77.5</v>
      </c>
      <c r="N56">
        <v>14.5</v>
      </c>
      <c r="O56">
        <v>101.75</v>
      </c>
      <c r="P56">
        <f t="shared" si="3"/>
        <v>-7.5</v>
      </c>
      <c r="Q56">
        <f t="shared" si="4"/>
        <v>0.99767818534940822</v>
      </c>
      <c r="R56" cm="1">
        <f t="array" ref="R56">_xlfn.IFS(Q56&gt;0.9,0,Q56&lt;0.01,0)</f>
        <v>0</v>
      </c>
      <c r="AA56">
        <v>13.5</v>
      </c>
      <c r="AB56">
        <v>9</v>
      </c>
      <c r="AC56">
        <f t="shared" si="5"/>
        <v>0.5</v>
      </c>
      <c r="AD56">
        <f t="shared" si="6"/>
        <v>0.89901024283576925</v>
      </c>
      <c r="AE56" t="e" cm="1">
        <f t="array" ref="AE56">_xlfn.IFS(AD56&gt;0.9,0,AD56&lt;0.01,0)</f>
        <v>#N/A</v>
      </c>
      <c r="AN56">
        <v>14.5</v>
      </c>
      <c r="AO56">
        <v>37.5</v>
      </c>
      <c r="AP56">
        <f t="shared" si="7"/>
        <v>5</v>
      </c>
      <c r="AQ56">
        <f t="shared" si="8"/>
        <v>0.14111028382707771</v>
      </c>
      <c r="AR56" t="e" cm="1">
        <f t="array" ref="AR56">_xlfn.IFS(AQ56&gt;0.9,0,AQ56&lt;0.01,0)</f>
        <v>#N/A</v>
      </c>
      <c r="BA56">
        <v>14.5</v>
      </c>
      <c r="BB56">
        <v>100.5</v>
      </c>
      <c r="BC56">
        <f t="shared" si="9"/>
        <v>-3.25</v>
      </c>
      <c r="BD56">
        <f t="shared" si="10"/>
        <v>1.0069102179261582</v>
      </c>
      <c r="BE56" cm="1">
        <f t="array" ref="BE56">_xlfn.IFS(BD56&gt;0.9,0,BD56&lt;0.01,0)</f>
        <v>0</v>
      </c>
      <c r="BN56">
        <v>14.5</v>
      </c>
      <c r="BO56">
        <v>6.5</v>
      </c>
      <c r="BP56">
        <f t="shared" si="11"/>
        <v>-0.5</v>
      </c>
      <c r="BQ56">
        <f t="shared" si="12"/>
        <v>1.0011798780711232</v>
      </c>
      <c r="BR56" cm="1">
        <f t="array" ref="BR56">_xlfn.IFS(BQ56&gt;0.9,0,BQ56&lt;0.01,0)</f>
        <v>0</v>
      </c>
      <c r="CA56">
        <v>14.5</v>
      </c>
      <c r="CB56">
        <v>92.75</v>
      </c>
      <c r="CC56">
        <f t="shared" si="13"/>
        <v>-8.75</v>
      </c>
      <c r="CD56">
        <f t="shared" si="14"/>
        <v>1.0038145771340479</v>
      </c>
      <c r="CE56" cm="1">
        <f t="array" ref="CE56">_xlfn.IFS(CD56&gt;0.9,0,CD56&lt;0.01,0)</f>
        <v>0</v>
      </c>
      <c r="CN56">
        <v>14.5</v>
      </c>
      <c r="CO56">
        <v>66</v>
      </c>
      <c r="CP56">
        <f t="shared" si="15"/>
        <v>0.5</v>
      </c>
      <c r="CQ56">
        <f t="shared" si="16"/>
        <v>0.33770848917641999</v>
      </c>
      <c r="CR56" t="e" cm="1">
        <f t="array" ref="CR56">_xlfn.IFS(CQ56&gt;0.9,0,CQ56&lt;0.01,0)</f>
        <v>#N/A</v>
      </c>
      <c r="DA56">
        <v>14.5</v>
      </c>
      <c r="DB56">
        <v>8</v>
      </c>
      <c r="DC56">
        <f t="shared" si="17"/>
        <v>-0.25</v>
      </c>
      <c r="DD56">
        <f t="shared" si="18"/>
        <v>1.0117701060139292</v>
      </c>
      <c r="DE56" cm="1">
        <f t="array" ref="DE56">_xlfn.IFS(DD56&gt;0.9,0,DD56&lt;0.01,0)</f>
        <v>0</v>
      </c>
      <c r="DN56">
        <v>14.5</v>
      </c>
      <c r="DO56">
        <v>80.5</v>
      </c>
      <c r="DP56">
        <f t="shared" si="19"/>
        <v>1.25</v>
      </c>
      <c r="DQ56">
        <f t="shared" si="20"/>
        <v>0.20514369388316625</v>
      </c>
      <c r="DR56" t="e" cm="1">
        <f t="array" ref="DR56">_xlfn.IFS(DQ56&gt;0.9,0,DQ56&lt;0.01,0)</f>
        <v>#N/A</v>
      </c>
    </row>
    <row r="57" spans="1:122" x14ac:dyDescent="0.4">
      <c r="A57">
        <v>14.75</v>
      </c>
      <c r="B57">
        <v>80.5</v>
      </c>
      <c r="C57">
        <f t="shared" si="0"/>
        <v>2.5500000000000007</v>
      </c>
      <c r="D57">
        <f t="shared" si="1"/>
        <v>0.20312360516268871</v>
      </c>
      <c r="E57" t="e" cm="1">
        <f t="array" ref="E57">_xlfn.IFS(D57&gt;0.9,0,D57&lt;0.01,0)</f>
        <v>#N/A</v>
      </c>
      <c r="F57">
        <v>80.5</v>
      </c>
      <c r="N57">
        <v>14.75</v>
      </c>
      <c r="O57">
        <v>101.75</v>
      </c>
      <c r="P57">
        <f t="shared" si="3"/>
        <v>-7.25</v>
      </c>
      <c r="Q57">
        <f t="shared" si="4"/>
        <v>0.99767818534940822</v>
      </c>
      <c r="R57" cm="1">
        <f t="array" ref="R57">_xlfn.IFS(Q57&gt;0.9,0,Q57&lt;0.01,0)</f>
        <v>0</v>
      </c>
      <c r="AA57">
        <v>13.75</v>
      </c>
      <c r="AB57">
        <v>12</v>
      </c>
      <c r="AC57">
        <f t="shared" si="5"/>
        <v>0.75</v>
      </c>
      <c r="AD57">
        <f t="shared" si="6"/>
        <v>0.74053400851651507</v>
      </c>
      <c r="AE57" t="e" cm="1">
        <f t="array" ref="AE57">_xlfn.IFS(AD57&gt;0.9,0,AD57&lt;0.01,0)</f>
        <v>#N/A</v>
      </c>
      <c r="AN57">
        <v>14.75</v>
      </c>
      <c r="AO57">
        <v>37</v>
      </c>
      <c r="AP57">
        <f t="shared" si="7"/>
        <v>5.25</v>
      </c>
      <c r="AQ57">
        <f t="shared" si="8"/>
        <v>0.13440619371422038</v>
      </c>
      <c r="AR57" t="e" cm="1">
        <f t="array" ref="AR57">_xlfn.IFS(AQ57&gt;0.9,0,AQ57&lt;0.01,0)</f>
        <v>#N/A</v>
      </c>
      <c r="BA57">
        <v>14.75</v>
      </c>
      <c r="BB57">
        <v>100.5</v>
      </c>
      <c r="BC57">
        <f t="shared" si="9"/>
        <v>-3</v>
      </c>
      <c r="BD57">
        <f t="shared" si="10"/>
        <v>1.0069102179261582</v>
      </c>
      <c r="BE57" cm="1">
        <f t="array" ref="BE57">_xlfn.IFS(BD57&gt;0.9,0,BD57&lt;0.01,0)</f>
        <v>0</v>
      </c>
      <c r="BN57">
        <v>14.75</v>
      </c>
      <c r="BO57">
        <v>6.5</v>
      </c>
      <c r="BP57">
        <f t="shared" si="11"/>
        <v>-0.25</v>
      </c>
      <c r="BQ57">
        <f t="shared" si="12"/>
        <v>1.0011798780711232</v>
      </c>
      <c r="BR57" cm="1">
        <f t="array" ref="BR57">_xlfn.IFS(BQ57&gt;0.9,0,BQ57&lt;0.01,0)</f>
        <v>0</v>
      </c>
      <c r="CA57">
        <v>14.75</v>
      </c>
      <c r="CB57">
        <v>92.5</v>
      </c>
      <c r="CC57">
        <f t="shared" si="13"/>
        <v>-8.5</v>
      </c>
      <c r="CD57">
        <f t="shared" si="14"/>
        <v>1.000836530073256</v>
      </c>
      <c r="CE57" cm="1">
        <f t="array" ref="CE57">_xlfn.IFS(CD57&gt;0.9,0,CD57&lt;0.01,0)</f>
        <v>0</v>
      </c>
      <c r="CN57">
        <v>14.75</v>
      </c>
      <c r="CO57">
        <v>85.25</v>
      </c>
      <c r="CP57">
        <f t="shared" si="15"/>
        <v>0.75</v>
      </c>
      <c r="CQ57">
        <f t="shared" si="16"/>
        <v>0.12345437713997356</v>
      </c>
      <c r="CR57" t="e" cm="1">
        <f t="array" ref="CR57">_xlfn.IFS(CQ57&gt;0.9,0,CQ57&lt;0.01,0)</f>
        <v>#N/A</v>
      </c>
      <c r="DA57">
        <v>14.75</v>
      </c>
      <c r="DB57">
        <v>8</v>
      </c>
      <c r="DC57">
        <f t="shared" si="17"/>
        <v>0</v>
      </c>
      <c r="DD57">
        <f t="shared" si="18"/>
        <v>1.0117701060139292</v>
      </c>
      <c r="DE57" cm="1">
        <f t="array" ref="DE57">_xlfn.IFS(DD57&gt;0.9,0,DD57&lt;0.01,0)</f>
        <v>0</v>
      </c>
      <c r="DN57">
        <v>14.75</v>
      </c>
      <c r="DO57">
        <v>84.75</v>
      </c>
      <c r="DP57">
        <f t="shared" si="19"/>
        <v>1.5</v>
      </c>
      <c r="DQ57">
        <f t="shared" si="20"/>
        <v>0.15998140376289161</v>
      </c>
      <c r="DR57" t="e" cm="1">
        <f t="array" ref="DR57">_xlfn.IFS(DQ57&gt;0.9,0,DQ57&lt;0.01,0)</f>
        <v>#N/A</v>
      </c>
    </row>
    <row r="58" spans="1:122" x14ac:dyDescent="0.4">
      <c r="A58">
        <v>15</v>
      </c>
      <c r="B58">
        <v>83.25</v>
      </c>
      <c r="C58">
        <f t="shared" si="0"/>
        <v>2.8000000000000007</v>
      </c>
      <c r="D58">
        <f t="shared" si="1"/>
        <v>0.17423555130198662</v>
      </c>
      <c r="E58" t="e" cm="1">
        <f t="array" ref="E58">_xlfn.IFS(D58&gt;0.9,0,D58&lt;0.01,0)</f>
        <v>#N/A</v>
      </c>
      <c r="F58">
        <v>83.25</v>
      </c>
      <c r="N58">
        <v>15</v>
      </c>
      <c r="O58">
        <v>101.75</v>
      </c>
      <c r="P58">
        <f t="shared" si="3"/>
        <v>-7</v>
      </c>
      <c r="Q58">
        <f t="shared" si="4"/>
        <v>0.99767818534940822</v>
      </c>
      <c r="R58" cm="1">
        <f t="array" ref="R58">_xlfn.IFS(Q58&gt;0.9,0,Q58&lt;0.01,0)</f>
        <v>0</v>
      </c>
      <c r="AA58">
        <v>14</v>
      </c>
      <c r="AB58">
        <v>15</v>
      </c>
      <c r="AC58">
        <f t="shared" si="5"/>
        <v>1</v>
      </c>
      <c r="AD58">
        <f t="shared" si="6"/>
        <v>0.5820577741972609</v>
      </c>
      <c r="AE58" t="e" cm="1">
        <f t="array" ref="AE58">_xlfn.IFS(AD58&gt;0.9,0,AD58&lt;0.01,0)</f>
        <v>#N/A</v>
      </c>
      <c r="AN58">
        <v>15</v>
      </c>
      <c r="AO58">
        <v>36.25</v>
      </c>
      <c r="AP58">
        <f t="shared" si="7"/>
        <v>5.5</v>
      </c>
      <c r="AQ58">
        <f t="shared" si="8"/>
        <v>0.12435005854493439</v>
      </c>
      <c r="AR58" t="e" cm="1">
        <f t="array" ref="AR58">_xlfn.IFS(AQ58&gt;0.9,0,AQ58&lt;0.01,0)</f>
        <v>#N/A</v>
      </c>
      <c r="BA58">
        <v>15</v>
      </c>
      <c r="BB58">
        <v>100.5</v>
      </c>
      <c r="BC58">
        <f t="shared" si="9"/>
        <v>-2.75</v>
      </c>
      <c r="BD58">
        <f t="shared" si="10"/>
        <v>1.0069102179261582</v>
      </c>
      <c r="BE58" cm="1">
        <f t="array" ref="BE58">_xlfn.IFS(BD58&gt;0.9,0,BD58&lt;0.01,0)</f>
        <v>0</v>
      </c>
      <c r="BN58">
        <v>15</v>
      </c>
      <c r="BO58">
        <v>6.5</v>
      </c>
      <c r="BP58">
        <f t="shared" si="11"/>
        <v>0</v>
      </c>
      <c r="BQ58">
        <f t="shared" si="12"/>
        <v>1.0011798780711232</v>
      </c>
      <c r="BR58" cm="1">
        <f t="array" ref="BR58">_xlfn.IFS(BQ58&gt;0.9,0,BQ58&lt;0.01,0)</f>
        <v>0</v>
      </c>
      <c r="CA58">
        <v>15</v>
      </c>
      <c r="CB58">
        <v>92.5</v>
      </c>
      <c r="CC58">
        <f t="shared" si="13"/>
        <v>-8.25</v>
      </c>
      <c r="CD58">
        <f t="shared" si="14"/>
        <v>1.000836530073256</v>
      </c>
      <c r="CE58" cm="1">
        <f t="array" ref="CE58">_xlfn.IFS(CD58&gt;0.9,0,CD58&lt;0.01,0)</f>
        <v>0</v>
      </c>
      <c r="CN58">
        <v>15</v>
      </c>
      <c r="CO58">
        <v>89.25</v>
      </c>
      <c r="CP58">
        <f t="shared" si="15"/>
        <v>1</v>
      </c>
      <c r="CQ58">
        <f t="shared" si="16"/>
        <v>7.8934042171361324E-2</v>
      </c>
      <c r="CR58" t="e" cm="1">
        <f t="array" ref="CR58">_xlfn.IFS(CQ58&gt;0.9,0,CQ58&lt;0.01,0)</f>
        <v>#N/A</v>
      </c>
      <c r="DA58">
        <v>15</v>
      </c>
      <c r="DB58">
        <v>9</v>
      </c>
      <c r="DC58">
        <f t="shared" si="17"/>
        <v>0.25</v>
      </c>
      <c r="DD58">
        <f t="shared" si="18"/>
        <v>1.0005208011510587</v>
      </c>
      <c r="DE58" cm="1">
        <f t="array" ref="DE58">_xlfn.IFS(DD58&gt;0.9,0,DD58&lt;0.01,0)</f>
        <v>0</v>
      </c>
      <c r="DN58">
        <v>15</v>
      </c>
      <c r="DO58">
        <v>87.75</v>
      </c>
      <c r="DP58">
        <f t="shared" si="19"/>
        <v>1.75</v>
      </c>
      <c r="DQ58">
        <f t="shared" si="20"/>
        <v>0.1281021401485801</v>
      </c>
      <c r="DR58" t="e" cm="1">
        <f t="array" ref="DR58">_xlfn.IFS(DQ58&gt;0.9,0,DQ58&lt;0.01,0)</f>
        <v>#N/A</v>
      </c>
    </row>
    <row r="59" spans="1:122" x14ac:dyDescent="0.4">
      <c r="A59">
        <v>15.25</v>
      </c>
      <c r="B59">
        <v>86.5</v>
      </c>
      <c r="C59">
        <f t="shared" si="0"/>
        <v>3.0500000000000007</v>
      </c>
      <c r="D59">
        <f t="shared" si="1"/>
        <v>0.140095124012066</v>
      </c>
      <c r="E59" t="e" cm="1">
        <f t="array" ref="E59">_xlfn.IFS(D59&gt;0.9,0,D59&lt;0.01,0)</f>
        <v>#N/A</v>
      </c>
      <c r="F59">
        <v>86.5</v>
      </c>
      <c r="N59">
        <v>15.25</v>
      </c>
      <c r="O59">
        <v>101.75</v>
      </c>
      <c r="P59">
        <f t="shared" si="3"/>
        <v>-6.75</v>
      </c>
      <c r="Q59">
        <f t="shared" si="4"/>
        <v>0.99767818534940822</v>
      </c>
      <c r="R59" cm="1">
        <f t="array" ref="R59">_xlfn.IFS(Q59&gt;0.9,0,Q59&lt;0.01,0)</f>
        <v>0</v>
      </c>
      <c r="AA59">
        <v>14.25</v>
      </c>
      <c r="AB59">
        <v>16.25</v>
      </c>
      <c r="AC59">
        <f t="shared" si="5"/>
        <v>1.25</v>
      </c>
      <c r="AD59">
        <f t="shared" si="6"/>
        <v>0.51602600989757164</v>
      </c>
      <c r="AE59" t="e" cm="1">
        <f t="array" ref="AE59">_xlfn.IFS(AD59&gt;0.9,0,AD59&lt;0.01,0)</f>
        <v>#N/A</v>
      </c>
      <c r="AN59">
        <v>15.25</v>
      </c>
      <c r="AO59">
        <v>35.75</v>
      </c>
      <c r="AP59">
        <f t="shared" si="7"/>
        <v>5.75</v>
      </c>
      <c r="AQ59">
        <f t="shared" si="8"/>
        <v>0.11764596843207706</v>
      </c>
      <c r="AR59" t="e" cm="1">
        <f t="array" ref="AR59">_xlfn.IFS(AQ59&gt;0.9,0,AQ59&lt;0.01,0)</f>
        <v>#N/A</v>
      </c>
      <c r="BA59">
        <v>15.25</v>
      </c>
      <c r="BB59">
        <v>100.5</v>
      </c>
      <c r="BC59">
        <f t="shared" si="9"/>
        <v>-2.5</v>
      </c>
      <c r="BD59">
        <f t="shared" si="10"/>
        <v>1.0069102179261582</v>
      </c>
      <c r="BE59" cm="1">
        <f t="array" ref="BE59">_xlfn.IFS(BD59&gt;0.9,0,BD59&lt;0.01,0)</f>
        <v>0</v>
      </c>
      <c r="BN59">
        <v>15.25</v>
      </c>
      <c r="BO59">
        <v>6.75</v>
      </c>
      <c r="BP59">
        <f t="shared" si="11"/>
        <v>0.25</v>
      </c>
      <c r="BQ59">
        <f t="shared" si="12"/>
        <v>0.99820453337002968</v>
      </c>
      <c r="BR59" cm="1">
        <f t="array" ref="BR59">_xlfn.IFS(BQ59&gt;0.9,0,BQ59&lt;0.01,0)</f>
        <v>0</v>
      </c>
      <c r="CA59">
        <v>15.25</v>
      </c>
      <c r="CB59">
        <v>92.5</v>
      </c>
      <c r="CC59">
        <f t="shared" si="13"/>
        <v>-8</v>
      </c>
      <c r="CD59">
        <f t="shared" si="14"/>
        <v>1.000836530073256</v>
      </c>
      <c r="CE59" cm="1">
        <f t="array" ref="CE59">_xlfn.IFS(CD59&gt;0.9,0,CD59&lt;0.01,0)</f>
        <v>0</v>
      </c>
      <c r="CN59">
        <v>15.25</v>
      </c>
      <c r="CO59">
        <v>91.25</v>
      </c>
      <c r="CP59">
        <f t="shared" si="15"/>
        <v>1.25</v>
      </c>
      <c r="CQ59">
        <f t="shared" si="16"/>
        <v>5.6673874687055203E-2</v>
      </c>
      <c r="CR59" t="e" cm="1">
        <f t="array" ref="CR59">_xlfn.IFS(CQ59&gt;0.9,0,CQ59&lt;0.01,0)</f>
        <v>#N/A</v>
      </c>
      <c r="DA59">
        <v>15.25</v>
      </c>
      <c r="DB59">
        <v>19</v>
      </c>
      <c r="DC59">
        <f t="shared" si="17"/>
        <v>0.5</v>
      </c>
      <c r="DD59">
        <f t="shared" si="18"/>
        <v>0.88802775252235466</v>
      </c>
      <c r="DE59" t="e" cm="1">
        <f t="array" ref="DE59">_xlfn.IFS(DD59&gt;0.9,0,DD59&lt;0.01,0)</f>
        <v>#N/A</v>
      </c>
      <c r="DN59">
        <v>15.25</v>
      </c>
      <c r="DO59">
        <v>90.5</v>
      </c>
      <c r="DP59">
        <f t="shared" si="19"/>
        <v>2</v>
      </c>
      <c r="DQ59">
        <f t="shared" si="20"/>
        <v>9.8879481835461205E-2</v>
      </c>
      <c r="DR59" t="e" cm="1">
        <f t="array" ref="DR59">_xlfn.IFS(DQ59&gt;0.9,0,DQ59&lt;0.01,0)</f>
        <v>#N/A</v>
      </c>
    </row>
    <row r="60" spans="1:122" x14ac:dyDescent="0.4">
      <c r="A60">
        <v>15.5</v>
      </c>
      <c r="B60">
        <v>89</v>
      </c>
      <c r="C60">
        <f t="shared" si="0"/>
        <v>3.3000000000000007</v>
      </c>
      <c r="D60">
        <f t="shared" si="1"/>
        <v>0.1138332568659732</v>
      </c>
      <c r="E60" t="e" cm="1">
        <f t="array" ref="E60">_xlfn.IFS(D60&gt;0.9,0,D60&lt;0.01,0)</f>
        <v>#N/A</v>
      </c>
      <c r="F60">
        <v>89</v>
      </c>
      <c r="N60">
        <v>15.5</v>
      </c>
      <c r="O60">
        <v>101.75</v>
      </c>
      <c r="P60">
        <f t="shared" si="3"/>
        <v>-6.5</v>
      </c>
      <c r="Q60">
        <f t="shared" si="4"/>
        <v>0.99767818534940822</v>
      </c>
      <c r="R60" cm="1">
        <f t="array" ref="R60">_xlfn.IFS(Q60&gt;0.9,0,Q60&lt;0.01,0)</f>
        <v>0</v>
      </c>
      <c r="AA60">
        <v>14.5</v>
      </c>
      <c r="AB60">
        <v>17.75</v>
      </c>
      <c r="AC60">
        <f t="shared" si="5"/>
        <v>1.5</v>
      </c>
      <c r="AD60">
        <f t="shared" si="6"/>
        <v>0.43678789273794449</v>
      </c>
      <c r="AE60" t="e" cm="1">
        <f t="array" ref="AE60">_xlfn.IFS(AD60&gt;0.9,0,AD60&lt;0.01,0)</f>
        <v>#N/A</v>
      </c>
      <c r="AN60">
        <v>15.5</v>
      </c>
      <c r="AO60">
        <v>35.5</v>
      </c>
      <c r="AP60">
        <f t="shared" si="7"/>
        <v>6</v>
      </c>
      <c r="AQ60">
        <f t="shared" si="8"/>
        <v>0.11429392337564839</v>
      </c>
      <c r="AR60" t="e" cm="1">
        <f t="array" ref="AR60">_xlfn.IFS(AQ60&gt;0.9,0,AQ60&lt;0.01,0)</f>
        <v>#N/A</v>
      </c>
      <c r="BA60">
        <v>15.5</v>
      </c>
      <c r="BB60">
        <v>100.5</v>
      </c>
      <c r="BC60">
        <f t="shared" si="9"/>
        <v>-2.25</v>
      </c>
      <c r="BD60">
        <f t="shared" si="10"/>
        <v>1.0069102179261582</v>
      </c>
      <c r="BE60" cm="1">
        <f t="array" ref="BE60">_xlfn.IFS(BD60&gt;0.9,0,BD60&lt;0.01,0)</f>
        <v>0</v>
      </c>
      <c r="BN60">
        <v>15.5</v>
      </c>
      <c r="BO60">
        <v>10.25</v>
      </c>
      <c r="BP60">
        <f t="shared" si="11"/>
        <v>0.5</v>
      </c>
      <c r="BQ60">
        <f t="shared" si="12"/>
        <v>0.95654970755472091</v>
      </c>
      <c r="BR60" cm="1">
        <f t="array" ref="BR60">_xlfn.IFS(BQ60&gt;0.9,0,BQ60&lt;0.01,0)</f>
        <v>0</v>
      </c>
      <c r="CA60">
        <v>15.5</v>
      </c>
      <c r="CB60">
        <v>92.5</v>
      </c>
      <c r="CC60">
        <f t="shared" si="13"/>
        <v>-7.75</v>
      </c>
      <c r="CD60">
        <f t="shared" si="14"/>
        <v>1.000836530073256</v>
      </c>
      <c r="CE60" cm="1">
        <f t="array" ref="CE60">_xlfn.IFS(CD60&gt;0.9,0,CD60&lt;0.01,0)</f>
        <v>0</v>
      </c>
      <c r="CN60">
        <v>15.5</v>
      </c>
      <c r="CO60">
        <v>92</v>
      </c>
      <c r="CP60">
        <f t="shared" si="15"/>
        <v>1.5</v>
      </c>
      <c r="CQ60">
        <f t="shared" si="16"/>
        <v>4.8326311880440412E-2</v>
      </c>
      <c r="CR60" t="e" cm="1">
        <f t="array" ref="CR60">_xlfn.IFS(CQ60&gt;0.9,0,CQ60&lt;0.01,0)</f>
        <v>#N/A</v>
      </c>
      <c r="DA60">
        <v>15.5</v>
      </c>
      <c r="DB60">
        <v>27.25</v>
      </c>
      <c r="DC60">
        <f t="shared" si="17"/>
        <v>0.75</v>
      </c>
      <c r="DD60">
        <f t="shared" si="18"/>
        <v>0.79522098740367375</v>
      </c>
      <c r="DE60" t="e" cm="1">
        <f t="array" ref="DE60">_xlfn.IFS(DD60&gt;0.9,0,DD60&lt;0.01,0)</f>
        <v>#N/A</v>
      </c>
      <c r="DN60">
        <v>15.5</v>
      </c>
      <c r="DO60">
        <v>92.25</v>
      </c>
      <c r="DP60">
        <f t="shared" si="19"/>
        <v>2.25</v>
      </c>
      <c r="DQ60">
        <f t="shared" si="20"/>
        <v>8.0283244727112818E-2</v>
      </c>
      <c r="DR60" t="e" cm="1">
        <f t="array" ref="DR60">_xlfn.IFS(DQ60&gt;0.9,0,DQ60&lt;0.01,0)</f>
        <v>#N/A</v>
      </c>
    </row>
    <row r="61" spans="1:122" x14ac:dyDescent="0.4">
      <c r="A61">
        <v>15.75</v>
      </c>
      <c r="B61">
        <v>91.5</v>
      </c>
      <c r="C61">
        <f t="shared" si="0"/>
        <v>3.5500000000000007</v>
      </c>
      <c r="D61">
        <f t="shared" si="1"/>
        <v>8.7571389719880405E-2</v>
      </c>
      <c r="E61" t="e" cm="1">
        <f t="array" ref="E61">_xlfn.IFS(D61&gt;0.9,0,D61&lt;0.01,0)</f>
        <v>#N/A</v>
      </c>
      <c r="F61">
        <v>91.5</v>
      </c>
      <c r="N61">
        <v>15.75</v>
      </c>
      <c r="O61">
        <v>101.5</v>
      </c>
      <c r="P61">
        <f t="shared" si="3"/>
        <v>-6.25</v>
      </c>
      <c r="Q61">
        <f t="shared" si="4"/>
        <v>0.99503389644178974</v>
      </c>
      <c r="R61" cm="1">
        <f t="array" ref="R61">_xlfn.IFS(Q61&gt;0.9,0,Q61&lt;0.01,0)</f>
        <v>0</v>
      </c>
      <c r="AA61">
        <v>14.75</v>
      </c>
      <c r="AB61">
        <v>18.5</v>
      </c>
      <c r="AC61">
        <f t="shared" si="5"/>
        <v>1.75</v>
      </c>
      <c r="AD61">
        <f t="shared" si="6"/>
        <v>0.39716883415813092</v>
      </c>
      <c r="AE61" t="e" cm="1">
        <f t="array" ref="AE61">_xlfn.IFS(AD61&gt;0.9,0,AD61&lt;0.01,0)</f>
        <v>#N/A</v>
      </c>
      <c r="AN61">
        <v>15.75</v>
      </c>
      <c r="AO61">
        <v>35</v>
      </c>
      <c r="AP61">
        <f t="shared" si="7"/>
        <v>6.25</v>
      </c>
      <c r="AQ61">
        <f t="shared" si="8"/>
        <v>0.10758983326279106</v>
      </c>
      <c r="AR61" t="e" cm="1">
        <f t="array" ref="AR61">_xlfn.IFS(AQ61&gt;0.9,0,AQ61&lt;0.01,0)</f>
        <v>#N/A</v>
      </c>
      <c r="BA61">
        <v>15.75</v>
      </c>
      <c r="BB61">
        <v>100.5</v>
      </c>
      <c r="BC61">
        <f t="shared" si="9"/>
        <v>-2</v>
      </c>
      <c r="BD61">
        <f t="shared" si="10"/>
        <v>1.0069102179261582</v>
      </c>
      <c r="BE61" cm="1">
        <f t="array" ref="BE61">_xlfn.IFS(BD61&gt;0.9,0,BD61&lt;0.01,0)</f>
        <v>0</v>
      </c>
      <c r="BN61">
        <v>15.75</v>
      </c>
      <c r="BO61">
        <v>18.25</v>
      </c>
      <c r="BP61">
        <f t="shared" si="11"/>
        <v>0.75</v>
      </c>
      <c r="BQ61">
        <f t="shared" si="12"/>
        <v>0.86133867711972945</v>
      </c>
      <c r="BR61" t="e" cm="1">
        <f t="array" ref="BR61">_xlfn.IFS(BQ61&gt;0.9,0,BQ61&lt;0.01,0)</f>
        <v>#N/A</v>
      </c>
      <c r="CA61">
        <v>15.75</v>
      </c>
      <c r="CB61">
        <v>92.25</v>
      </c>
      <c r="CC61">
        <f t="shared" si="13"/>
        <v>-7.5</v>
      </c>
      <c r="CD61">
        <f t="shared" si="14"/>
        <v>0.99785848301246427</v>
      </c>
      <c r="CE61" cm="1">
        <f t="array" ref="CE61">_xlfn.IFS(CD61&gt;0.9,0,CD61&lt;0.01,0)</f>
        <v>0</v>
      </c>
      <c r="CN61">
        <v>15.75</v>
      </c>
      <c r="CO61">
        <v>93.5</v>
      </c>
      <c r="CP61">
        <f t="shared" si="15"/>
        <v>1.75</v>
      </c>
      <c r="CQ61">
        <f t="shared" si="16"/>
        <v>3.1631186267210822E-2</v>
      </c>
      <c r="CR61" t="e" cm="1">
        <f t="array" ref="CR61">_xlfn.IFS(CQ61&gt;0.9,0,CQ61&lt;0.01,0)</f>
        <v>#N/A</v>
      </c>
      <c r="DA61">
        <v>15.75</v>
      </c>
      <c r="DB61">
        <v>37</v>
      </c>
      <c r="DC61">
        <f t="shared" si="17"/>
        <v>1</v>
      </c>
      <c r="DD61">
        <f t="shared" si="18"/>
        <v>0.68554026499068732</v>
      </c>
      <c r="DE61" t="e" cm="1">
        <f t="array" ref="DE61">_xlfn.IFS(DD61&gt;0.9,0,DD61&lt;0.01,0)</f>
        <v>#N/A</v>
      </c>
      <c r="DN61">
        <v>15.75</v>
      </c>
      <c r="DO61">
        <v>94</v>
      </c>
      <c r="DP61">
        <f t="shared" si="19"/>
        <v>2.5</v>
      </c>
      <c r="DQ61">
        <f t="shared" si="20"/>
        <v>6.1687007618764438E-2</v>
      </c>
      <c r="DR61" t="e" cm="1">
        <f t="array" ref="DR61">_xlfn.IFS(DQ61&gt;0.9,0,DQ61&lt;0.01,0)</f>
        <v>#N/A</v>
      </c>
    </row>
    <row r="62" spans="1:122" x14ac:dyDescent="0.4">
      <c r="A62">
        <v>16</v>
      </c>
      <c r="B62">
        <v>93</v>
      </c>
      <c r="C62">
        <f t="shared" si="0"/>
        <v>3.8000000000000007</v>
      </c>
      <c r="D62">
        <f t="shared" si="1"/>
        <v>7.1814269432224728E-2</v>
      </c>
      <c r="E62" t="e" cm="1">
        <f t="array" ref="E62">_xlfn.IFS(D62&gt;0.9,0,D62&lt;0.01,0)</f>
        <v>#N/A</v>
      </c>
      <c r="F62">
        <v>93</v>
      </c>
      <c r="N62">
        <v>16</v>
      </c>
      <c r="O62">
        <v>101.5</v>
      </c>
      <c r="P62">
        <f t="shared" si="3"/>
        <v>-6</v>
      </c>
      <c r="Q62">
        <f t="shared" si="4"/>
        <v>0.99503389644178974</v>
      </c>
      <c r="R62" cm="1">
        <f t="array" ref="R62">_xlfn.IFS(Q62&gt;0.9,0,Q62&lt;0.01,0)</f>
        <v>0</v>
      </c>
      <c r="AA62">
        <v>15</v>
      </c>
      <c r="AB62">
        <v>19</v>
      </c>
      <c r="AC62">
        <f t="shared" si="5"/>
        <v>2</v>
      </c>
      <c r="AD62">
        <f t="shared" si="6"/>
        <v>0.37075612843825523</v>
      </c>
      <c r="AE62" t="e" cm="1">
        <f t="array" ref="AE62">_xlfn.IFS(AD62&gt;0.9,0,AD62&lt;0.01,0)</f>
        <v>#N/A</v>
      </c>
      <c r="AN62">
        <v>16</v>
      </c>
      <c r="AO62">
        <v>34.5</v>
      </c>
      <c r="AP62">
        <f t="shared" si="7"/>
        <v>6.5</v>
      </c>
      <c r="AQ62">
        <f t="shared" si="8"/>
        <v>0.10088574314993372</v>
      </c>
      <c r="AR62" t="e" cm="1">
        <f t="array" ref="AR62">_xlfn.IFS(AQ62&gt;0.9,0,AQ62&lt;0.01,0)</f>
        <v>#N/A</v>
      </c>
      <c r="BA62">
        <v>16</v>
      </c>
      <c r="BB62">
        <v>100.5</v>
      </c>
      <c r="BC62">
        <f t="shared" si="9"/>
        <v>-1.75</v>
      </c>
      <c r="BD62">
        <f t="shared" si="10"/>
        <v>1.0069102179261582</v>
      </c>
      <c r="BE62" cm="1">
        <f t="array" ref="BE62">_xlfn.IFS(BD62&gt;0.9,0,BD62&lt;0.01,0)</f>
        <v>0</v>
      </c>
      <c r="BN62">
        <v>16</v>
      </c>
      <c r="BO62">
        <v>23.75</v>
      </c>
      <c r="BP62">
        <f t="shared" si="11"/>
        <v>1</v>
      </c>
      <c r="BQ62">
        <f t="shared" si="12"/>
        <v>0.79588109369567284</v>
      </c>
      <c r="BR62" t="e" cm="1">
        <f t="array" ref="BR62">_xlfn.IFS(BQ62&gt;0.9,0,BQ62&lt;0.01,0)</f>
        <v>#N/A</v>
      </c>
      <c r="CA62">
        <v>16</v>
      </c>
      <c r="CB62">
        <v>92.25</v>
      </c>
      <c r="CC62">
        <f t="shared" si="13"/>
        <v>-7.25</v>
      </c>
      <c r="CD62">
        <f t="shared" si="14"/>
        <v>0.99785848301246427</v>
      </c>
      <c r="CE62" cm="1">
        <f t="array" ref="CE62">_xlfn.IFS(CD62&gt;0.9,0,CD62&lt;0.01,0)</f>
        <v>0</v>
      </c>
      <c r="CN62">
        <v>16</v>
      </c>
      <c r="CO62">
        <v>93.75</v>
      </c>
      <c r="CP62">
        <f t="shared" si="15"/>
        <v>2</v>
      </c>
      <c r="CQ62">
        <f t="shared" si="16"/>
        <v>2.8848665331672557E-2</v>
      </c>
      <c r="CR62" t="e" cm="1">
        <f t="array" ref="CR62">_xlfn.IFS(CQ62&gt;0.9,0,CQ62&lt;0.01,0)</f>
        <v>#N/A</v>
      </c>
      <c r="DA62">
        <v>16</v>
      </c>
      <c r="DB62">
        <v>42.5</v>
      </c>
      <c r="DC62">
        <f t="shared" si="17"/>
        <v>1.25</v>
      </c>
      <c r="DD62">
        <f t="shared" si="18"/>
        <v>0.62366908824490008</v>
      </c>
      <c r="DE62" t="e" cm="1">
        <f t="array" ref="DE62">_xlfn.IFS(DD62&gt;0.9,0,DD62&lt;0.01,0)</f>
        <v>#N/A</v>
      </c>
      <c r="DN62">
        <v>16</v>
      </c>
      <c r="DO62">
        <v>95</v>
      </c>
      <c r="DP62">
        <f t="shared" si="19"/>
        <v>2.75</v>
      </c>
      <c r="DQ62">
        <f t="shared" si="20"/>
        <v>5.1060586413993934E-2</v>
      </c>
      <c r="DR62" t="e" cm="1">
        <f t="array" ref="DR62">_xlfn.IFS(DQ62&gt;0.9,0,DQ62&lt;0.01,0)</f>
        <v>#N/A</v>
      </c>
    </row>
    <row r="63" spans="1:122" x14ac:dyDescent="0.4">
      <c r="A63">
        <v>16.25</v>
      </c>
      <c r="B63">
        <v>94.25</v>
      </c>
      <c r="C63">
        <f t="shared" si="0"/>
        <v>4.0500000000000007</v>
      </c>
      <c r="D63">
        <f t="shared" si="1"/>
        <v>5.8683335859178336E-2</v>
      </c>
      <c r="E63" t="e" cm="1">
        <f t="array" ref="E63">_xlfn.IFS(D63&gt;0.9,0,D63&lt;0.01,0)</f>
        <v>#N/A</v>
      </c>
      <c r="F63">
        <v>94.25</v>
      </c>
      <c r="N63">
        <v>16.25</v>
      </c>
      <c r="O63">
        <f>O40</f>
        <v>102.25</v>
      </c>
      <c r="P63">
        <f t="shared" si="3"/>
        <v>-5.75</v>
      </c>
      <c r="Q63">
        <f t="shared" si="4"/>
        <v>1.0029667631646451</v>
      </c>
      <c r="R63" cm="1">
        <f t="array" ref="R63">_xlfn.IFS(Q63&gt;0.9,0,Q63&lt;0.01,0)</f>
        <v>0</v>
      </c>
      <c r="AA63">
        <v>15.251000000000001</v>
      </c>
      <c r="AB63">
        <v>19.75</v>
      </c>
      <c r="AC63">
        <f t="shared" si="5"/>
        <v>2.2510000000000012</v>
      </c>
      <c r="AD63">
        <f t="shared" si="6"/>
        <v>0.33113706985844171</v>
      </c>
      <c r="AE63" t="e" cm="1">
        <f t="array" ref="AE63">_xlfn.IFS(AD63&gt;0.9,0,AD63&lt;0.01,0)</f>
        <v>#N/A</v>
      </c>
      <c r="AN63">
        <v>16.25</v>
      </c>
      <c r="AO63">
        <v>34.25</v>
      </c>
      <c r="AP63">
        <f t="shared" si="7"/>
        <v>6.75</v>
      </c>
      <c r="AQ63">
        <f t="shared" si="8"/>
        <v>9.7533698093505053E-2</v>
      </c>
      <c r="AR63" t="e" cm="1">
        <f t="array" ref="AR63">_xlfn.IFS(AQ63&gt;0.9,0,AQ63&lt;0.01,0)</f>
        <v>#N/A</v>
      </c>
      <c r="BA63">
        <v>16.25</v>
      </c>
      <c r="BB63">
        <v>100.5</v>
      </c>
      <c r="BC63">
        <f t="shared" si="9"/>
        <v>-1.5</v>
      </c>
      <c r="BD63">
        <f t="shared" si="10"/>
        <v>1.0069102179261582</v>
      </c>
      <c r="BE63" cm="1">
        <f t="array" ref="BE63">_xlfn.IFS(BD63&gt;0.9,0,BD63&lt;0.01,0)</f>
        <v>0</v>
      </c>
      <c r="BN63">
        <v>16.25</v>
      </c>
      <c r="BO63">
        <v>29</v>
      </c>
      <c r="BP63">
        <f t="shared" si="11"/>
        <v>1.25</v>
      </c>
      <c r="BQ63">
        <f t="shared" si="12"/>
        <v>0.73339885497270962</v>
      </c>
      <c r="BR63" t="e" cm="1">
        <f t="array" ref="BR63">_xlfn.IFS(BQ63&gt;0.9,0,BQ63&lt;0.01,0)</f>
        <v>#N/A</v>
      </c>
      <c r="CA63">
        <v>16.25</v>
      </c>
      <c r="CB63">
        <v>92.25</v>
      </c>
      <c r="CC63">
        <f t="shared" si="13"/>
        <v>-7</v>
      </c>
      <c r="CD63">
        <f t="shared" si="14"/>
        <v>0.99785848301246427</v>
      </c>
      <c r="CE63" cm="1">
        <f t="array" ref="CE63">_xlfn.IFS(CD63&gt;0.9,0,CD63&lt;0.01,0)</f>
        <v>0</v>
      </c>
      <c r="CN63">
        <v>16.25</v>
      </c>
      <c r="CO63">
        <v>93.75</v>
      </c>
      <c r="CP63">
        <f t="shared" si="15"/>
        <v>2.25</v>
      </c>
      <c r="CQ63">
        <f t="shared" si="16"/>
        <v>2.8848665331672557E-2</v>
      </c>
      <c r="CR63" t="e" cm="1">
        <f t="array" ref="CR63">_xlfn.IFS(CQ63&gt;0.9,0,CQ63&lt;0.01,0)</f>
        <v>#N/A</v>
      </c>
      <c r="DA63">
        <v>16.25</v>
      </c>
      <c r="DB63">
        <v>47</v>
      </c>
      <c r="DC63">
        <f t="shared" si="17"/>
        <v>1.5</v>
      </c>
      <c r="DD63">
        <f t="shared" si="18"/>
        <v>0.57304721636198319</v>
      </c>
      <c r="DE63" t="e" cm="1">
        <f t="array" ref="DE63">_xlfn.IFS(DD63&gt;0.9,0,DD63&lt;0.01,0)</f>
        <v>#N/A</v>
      </c>
      <c r="DN63">
        <v>16.25</v>
      </c>
      <c r="DO63">
        <v>96</v>
      </c>
      <c r="DP63">
        <f t="shared" si="19"/>
        <v>3</v>
      </c>
      <c r="DQ63">
        <f t="shared" si="20"/>
        <v>4.0434165209223424E-2</v>
      </c>
      <c r="DR63" t="e" cm="1">
        <f t="array" ref="DR63">_xlfn.IFS(DQ63&gt;0.9,0,DQ63&lt;0.01,0)</f>
        <v>#N/A</v>
      </c>
    </row>
    <row r="64" spans="1:122" x14ac:dyDescent="0.4">
      <c r="A64">
        <v>16.5</v>
      </c>
      <c r="B64">
        <v>95.5</v>
      </c>
      <c r="C64">
        <f t="shared" si="0"/>
        <v>4.3000000000000007</v>
      </c>
      <c r="D64">
        <f t="shared" si="1"/>
        <v>4.5552402286131936E-2</v>
      </c>
      <c r="E64" t="e" cm="1">
        <f t="array" ref="E64">_xlfn.IFS(D64&gt;0.9,0,D64&lt;0.01,0)</f>
        <v>#N/A</v>
      </c>
      <c r="F64">
        <v>95.5</v>
      </c>
      <c r="N64">
        <v>16.5</v>
      </c>
      <c r="O64">
        <f t="shared" ref="O64:O84" si="23">O41</f>
        <v>101.75</v>
      </c>
      <c r="P64">
        <f t="shared" si="3"/>
        <v>-5.5</v>
      </c>
      <c r="Q64">
        <f t="shared" si="4"/>
        <v>0.99767818534940822</v>
      </c>
      <c r="R64" cm="1">
        <f t="array" ref="R64">_xlfn.IFS(Q64&gt;0.9,0,Q64&lt;0.01,0)</f>
        <v>0</v>
      </c>
      <c r="AA64">
        <v>15.5</v>
      </c>
      <c r="AB64">
        <v>20</v>
      </c>
      <c r="AC64">
        <f t="shared" si="5"/>
        <v>2.5</v>
      </c>
      <c r="AD64">
        <f t="shared" si="6"/>
        <v>0.31793071699850384</v>
      </c>
      <c r="AE64" t="e" cm="1">
        <f t="array" ref="AE64">_xlfn.IFS(AD64&gt;0.9,0,AD64&lt;0.01,0)</f>
        <v>#N/A</v>
      </c>
      <c r="AN64">
        <v>16.5</v>
      </c>
      <c r="AO64">
        <v>33.75</v>
      </c>
      <c r="AP64">
        <f t="shared" si="7"/>
        <v>7</v>
      </c>
      <c r="AQ64">
        <f t="shared" si="8"/>
        <v>9.0829607980647722E-2</v>
      </c>
      <c r="AR64" t="e" cm="1">
        <f t="array" ref="AR64">_xlfn.IFS(AQ64&gt;0.9,0,AQ64&lt;0.01,0)</f>
        <v>#N/A</v>
      </c>
      <c r="BA64">
        <v>16.5</v>
      </c>
      <c r="BB64">
        <v>100.5</v>
      </c>
      <c r="BC64">
        <f t="shared" si="9"/>
        <v>-1.25</v>
      </c>
      <c r="BD64">
        <f t="shared" si="10"/>
        <v>1.0069102179261582</v>
      </c>
      <c r="BE64" cm="1">
        <f t="array" ref="BE64">_xlfn.IFS(BD64&gt;0.9,0,BD64&lt;0.01,0)</f>
        <v>0</v>
      </c>
      <c r="BN64">
        <v>16.5</v>
      </c>
      <c r="BO64">
        <v>35.5</v>
      </c>
      <c r="BP64">
        <f t="shared" si="11"/>
        <v>1.5</v>
      </c>
      <c r="BQ64">
        <f t="shared" si="12"/>
        <v>0.6560398927442791</v>
      </c>
      <c r="BR64" t="e" cm="1">
        <f t="array" ref="BR64">_xlfn.IFS(BQ64&gt;0.9,0,BQ64&lt;0.01,0)</f>
        <v>#N/A</v>
      </c>
      <c r="CA64">
        <v>16.5</v>
      </c>
      <c r="CB64">
        <v>92</v>
      </c>
      <c r="CC64">
        <f t="shared" si="13"/>
        <v>-6.75</v>
      </c>
      <c r="CD64">
        <f t="shared" si="14"/>
        <v>0.99488043595167241</v>
      </c>
      <c r="CE64" cm="1">
        <f t="array" ref="CE64">_xlfn.IFS(CD64&gt;0.9,0,CD64&lt;0.01,0)</f>
        <v>0</v>
      </c>
      <c r="CN64">
        <v>16.5</v>
      </c>
      <c r="CO64">
        <v>93.25</v>
      </c>
      <c r="CP64">
        <f t="shared" si="15"/>
        <v>2.5</v>
      </c>
      <c r="CQ64">
        <f t="shared" si="16"/>
        <v>3.4413707202749083E-2</v>
      </c>
      <c r="CR64" t="e" cm="1">
        <f t="array" ref="CR64">_xlfn.IFS(CQ64&gt;0.9,0,CQ64&lt;0.01,0)</f>
        <v>#N/A</v>
      </c>
      <c r="DA64">
        <v>16.5</v>
      </c>
      <c r="DB64">
        <v>52.5</v>
      </c>
      <c r="DC64">
        <f t="shared" si="17"/>
        <v>1.75</v>
      </c>
      <c r="DD64">
        <f t="shared" si="18"/>
        <v>0.51117603961619595</v>
      </c>
      <c r="DE64" t="e" cm="1">
        <f t="array" ref="DE64">_xlfn.IFS(DD64&gt;0.9,0,DD64&lt;0.01,0)</f>
        <v>#N/A</v>
      </c>
      <c r="DN64">
        <v>16.5</v>
      </c>
      <c r="DO64">
        <v>96.75</v>
      </c>
      <c r="DP64">
        <f t="shared" si="19"/>
        <v>3.25</v>
      </c>
      <c r="DQ64">
        <f t="shared" si="20"/>
        <v>3.2464349305645547E-2</v>
      </c>
      <c r="DR64" t="e" cm="1">
        <f t="array" ref="DR64">_xlfn.IFS(DQ64&gt;0.9,0,DQ64&lt;0.01,0)</f>
        <v>#N/A</v>
      </c>
    </row>
    <row r="65" spans="1:122" x14ac:dyDescent="0.4">
      <c r="A65">
        <v>16.75</v>
      </c>
      <c r="B65">
        <v>96.5</v>
      </c>
      <c r="C65">
        <f t="shared" si="0"/>
        <v>4.5500000000000007</v>
      </c>
      <c r="D65">
        <f t="shared" si="1"/>
        <v>3.5047655427694821E-2</v>
      </c>
      <c r="E65" t="e" cm="1">
        <f t="array" ref="E65">_xlfn.IFS(D65&gt;0.9,0,D65&lt;0.01,0)</f>
        <v>#N/A</v>
      </c>
      <c r="F65">
        <v>96.5</v>
      </c>
      <c r="N65">
        <v>16.75</v>
      </c>
      <c r="O65">
        <f t="shared" si="23"/>
        <v>102.5</v>
      </c>
      <c r="P65">
        <f t="shared" si="3"/>
        <v>-5.25</v>
      </c>
      <c r="Q65">
        <f t="shared" si="4"/>
        <v>1.0056110520722636</v>
      </c>
      <c r="R65" cm="1">
        <f t="array" ref="R65">_xlfn.IFS(Q65&gt;0.9,0,Q65&lt;0.01,0)</f>
        <v>0</v>
      </c>
      <c r="AA65">
        <v>15.75</v>
      </c>
      <c r="AB65">
        <v>20.25</v>
      </c>
      <c r="AC65">
        <f t="shared" si="5"/>
        <v>2.75</v>
      </c>
      <c r="AD65">
        <f t="shared" si="6"/>
        <v>0.30472436413856596</v>
      </c>
      <c r="AE65" t="e" cm="1">
        <f t="array" ref="AE65">_xlfn.IFS(AD65&gt;0.9,0,AD65&lt;0.01,0)</f>
        <v>#N/A</v>
      </c>
      <c r="AN65">
        <v>16.75</v>
      </c>
      <c r="AO65">
        <v>33.5</v>
      </c>
      <c r="AP65">
        <f t="shared" si="7"/>
        <v>7.25</v>
      </c>
      <c r="AQ65">
        <f t="shared" si="8"/>
        <v>8.7477562924219057E-2</v>
      </c>
      <c r="AR65" t="e" cm="1">
        <f t="array" ref="AR65">_xlfn.IFS(AQ65&gt;0.9,0,AQ65&lt;0.01,0)</f>
        <v>#N/A</v>
      </c>
      <c r="BA65">
        <v>16.75</v>
      </c>
      <c r="BB65">
        <v>100.5</v>
      </c>
      <c r="BC65">
        <f t="shared" si="9"/>
        <v>-1</v>
      </c>
      <c r="BD65">
        <f t="shared" si="10"/>
        <v>1.0069102179261582</v>
      </c>
      <c r="BE65" cm="1">
        <f t="array" ref="BE65">_xlfn.IFS(BD65&gt;0.9,0,BD65&lt;0.01,0)</f>
        <v>0</v>
      </c>
      <c r="BN65">
        <v>16.75</v>
      </c>
      <c r="BO65">
        <v>40</v>
      </c>
      <c r="BP65">
        <f t="shared" si="11"/>
        <v>1.75</v>
      </c>
      <c r="BQ65">
        <f t="shared" si="12"/>
        <v>0.60248368812459641</v>
      </c>
      <c r="BR65" t="e" cm="1">
        <f t="array" ref="BR65">_xlfn.IFS(BQ65&gt;0.9,0,BQ65&lt;0.01,0)</f>
        <v>#N/A</v>
      </c>
      <c r="CA65">
        <v>16.75</v>
      </c>
      <c r="CB65">
        <v>92.25</v>
      </c>
      <c r="CC65">
        <f t="shared" si="13"/>
        <v>-6.5</v>
      </c>
      <c r="CD65">
        <f t="shared" si="14"/>
        <v>0.99785848301246427</v>
      </c>
      <c r="CE65" cm="1">
        <f t="array" ref="CE65">_xlfn.IFS(CD65&gt;0.9,0,CD65&lt;0.01,0)</f>
        <v>0</v>
      </c>
      <c r="CN65">
        <v>16.75</v>
      </c>
      <c r="CO65">
        <v>93.5</v>
      </c>
      <c r="CP65">
        <f t="shared" si="15"/>
        <v>2.75</v>
      </c>
      <c r="CQ65">
        <f t="shared" si="16"/>
        <v>3.1631186267210822E-2</v>
      </c>
      <c r="CR65" t="e" cm="1">
        <f t="array" ref="CR65">_xlfn.IFS(CQ65&gt;0.9,0,CQ65&lt;0.01,0)</f>
        <v>#N/A</v>
      </c>
      <c r="DA65">
        <v>16.75</v>
      </c>
      <c r="DB65">
        <v>56.25</v>
      </c>
      <c r="DC65">
        <f t="shared" si="17"/>
        <v>2</v>
      </c>
      <c r="DD65">
        <f t="shared" si="18"/>
        <v>0.46899114638043193</v>
      </c>
      <c r="DE65" t="e" cm="1">
        <f t="array" ref="DE65">_xlfn.IFS(DD65&gt;0.9,0,DD65&lt;0.01,0)</f>
        <v>#N/A</v>
      </c>
      <c r="DN65">
        <v>16.75</v>
      </c>
      <c r="DO65">
        <v>97.25</v>
      </c>
      <c r="DP65">
        <f t="shared" si="19"/>
        <v>3.5</v>
      </c>
      <c r="DQ65">
        <f t="shared" si="20"/>
        <v>2.7151138703260295E-2</v>
      </c>
      <c r="DR65" t="e" cm="1">
        <f t="array" ref="DR65">_xlfn.IFS(DQ65&gt;0.9,0,DQ65&lt;0.01,0)</f>
        <v>#N/A</v>
      </c>
    </row>
    <row r="66" spans="1:122" x14ac:dyDescent="0.4">
      <c r="A66">
        <v>17</v>
      </c>
      <c r="B66">
        <v>97</v>
      </c>
      <c r="C66">
        <f t="shared" si="0"/>
        <v>4.8000000000000007</v>
      </c>
      <c r="D66">
        <f t="shared" si="1"/>
        <v>2.979528199847626E-2</v>
      </c>
      <c r="E66" t="e" cm="1">
        <f t="array" ref="E66">_xlfn.IFS(D66&gt;0.9,0,D66&lt;0.01,0)</f>
        <v>#N/A</v>
      </c>
      <c r="F66">
        <v>97</v>
      </c>
      <c r="N66">
        <v>17</v>
      </c>
      <c r="O66">
        <f t="shared" si="23"/>
        <v>102.5</v>
      </c>
      <c r="P66">
        <f t="shared" si="3"/>
        <v>-5</v>
      </c>
      <c r="Q66">
        <f t="shared" si="4"/>
        <v>1.0056110520722636</v>
      </c>
      <c r="R66" cm="1">
        <f t="array" ref="R66">_xlfn.IFS(Q66&gt;0.9,0,Q66&lt;0.01,0)</f>
        <v>0</v>
      </c>
      <c r="AA66">
        <v>16</v>
      </c>
      <c r="AB66">
        <v>20.25</v>
      </c>
      <c r="AC66">
        <f t="shared" si="5"/>
        <v>3</v>
      </c>
      <c r="AD66">
        <f t="shared" si="6"/>
        <v>0.30472436413856596</v>
      </c>
      <c r="AE66" t="e" cm="1">
        <f t="array" ref="AE66">_xlfn.IFS(AD66&gt;0.9,0,AD66&lt;0.01,0)</f>
        <v>#N/A</v>
      </c>
      <c r="AN66">
        <v>17</v>
      </c>
      <c r="AO66">
        <v>33.25</v>
      </c>
      <c r="AP66">
        <f t="shared" si="7"/>
        <v>7.5</v>
      </c>
      <c r="AQ66">
        <f t="shared" si="8"/>
        <v>8.4125517867790392E-2</v>
      </c>
      <c r="AR66" t="e" cm="1">
        <f t="array" ref="AR66">_xlfn.IFS(AQ66&gt;0.9,0,AQ66&lt;0.01,0)</f>
        <v>#N/A</v>
      </c>
      <c r="BA66">
        <v>17</v>
      </c>
      <c r="BB66">
        <v>99.75</v>
      </c>
      <c r="BC66">
        <f t="shared" si="9"/>
        <v>-0.75</v>
      </c>
      <c r="BD66">
        <f t="shared" si="10"/>
        <v>0.99883950538644672</v>
      </c>
      <c r="BE66" cm="1">
        <f t="array" ref="BE66">_xlfn.IFS(BD66&gt;0.9,0,BD66&lt;0.01,0)</f>
        <v>0</v>
      </c>
      <c r="BN66">
        <v>17</v>
      </c>
      <c r="BO66">
        <v>44</v>
      </c>
      <c r="BP66">
        <f t="shared" si="11"/>
        <v>2</v>
      </c>
      <c r="BQ66">
        <f t="shared" si="12"/>
        <v>0.55487817290710062</v>
      </c>
      <c r="BR66" t="e" cm="1">
        <f t="array" ref="BR66">_xlfn.IFS(BQ66&gt;0.9,0,BQ66&lt;0.01,0)</f>
        <v>#N/A</v>
      </c>
      <c r="CA66">
        <v>17</v>
      </c>
      <c r="CB66">
        <v>92.5</v>
      </c>
      <c r="CC66">
        <f t="shared" si="13"/>
        <v>-6.25</v>
      </c>
      <c r="CD66">
        <f t="shared" si="14"/>
        <v>1.000836530073256</v>
      </c>
      <c r="CE66" cm="1">
        <f t="array" ref="CE66">_xlfn.IFS(CD66&gt;0.9,0,CD66&lt;0.01,0)</f>
        <v>0</v>
      </c>
      <c r="CN66">
        <v>17</v>
      </c>
      <c r="CO66">
        <v>93.25</v>
      </c>
      <c r="CP66">
        <f t="shared" si="15"/>
        <v>3</v>
      </c>
      <c r="CQ66">
        <f t="shared" si="16"/>
        <v>3.4413707202749083E-2</v>
      </c>
      <c r="CR66" t="e" cm="1">
        <f t="array" ref="CR66">_xlfn.IFS(CQ66&gt;0.9,0,CQ66&lt;0.01,0)</f>
        <v>#N/A</v>
      </c>
      <c r="DA66">
        <v>17</v>
      </c>
      <c r="DB66">
        <v>59.75</v>
      </c>
      <c r="DC66">
        <f t="shared" si="17"/>
        <v>2.25</v>
      </c>
      <c r="DD66">
        <f t="shared" si="18"/>
        <v>0.4296185793603855</v>
      </c>
      <c r="DE66" t="e" cm="1">
        <f t="array" ref="DE66">_xlfn.IFS(DD66&gt;0.9,0,DD66&lt;0.01,0)</f>
        <v>#N/A</v>
      </c>
      <c r="DN66">
        <v>17</v>
      </c>
      <c r="DO66">
        <v>97.75</v>
      </c>
      <c r="DP66">
        <f t="shared" si="19"/>
        <v>3.75</v>
      </c>
      <c r="DQ66">
        <f t="shared" si="20"/>
        <v>2.1837928100875044E-2</v>
      </c>
      <c r="DR66" t="e" cm="1">
        <f t="array" ref="DR66">_xlfn.IFS(DQ66&gt;0.9,0,DQ66&lt;0.01,0)</f>
        <v>#N/A</v>
      </c>
    </row>
    <row r="67" spans="1:122" x14ac:dyDescent="0.4">
      <c r="A67">
        <v>17.25</v>
      </c>
      <c r="B67">
        <v>97.75</v>
      </c>
      <c r="C67">
        <f t="shared" ref="C67:C130" si="24">A67-$H$5</f>
        <v>5.0500000000000007</v>
      </c>
      <c r="D67">
        <f t="shared" ref="D67:D130" si="25">(B67-$H$2)/($H$1-$H$2)</f>
        <v>2.1916721854648422E-2</v>
      </c>
      <c r="E67" t="e" cm="1">
        <f t="array" ref="E67">_xlfn.IFS(D67&gt;0.9,0,D67&lt;0.01,0)</f>
        <v>#N/A</v>
      </c>
      <c r="F67">
        <v>97.75</v>
      </c>
      <c r="N67">
        <v>17.25</v>
      </c>
      <c r="O67">
        <f t="shared" si="23"/>
        <v>101.75</v>
      </c>
      <c r="P67">
        <f t="shared" ref="P67:P130" si="26">N67-$T$5</f>
        <v>-4.75</v>
      </c>
      <c r="Q67">
        <f t="shared" ref="Q67:Q130" si="27">(O67-$T$2)/($T$1-$T$2)</f>
        <v>0.99767818534940822</v>
      </c>
      <c r="R67" cm="1">
        <f t="array" ref="R67">_xlfn.IFS(Q67&gt;0.9,0,Q67&lt;0.01,0)</f>
        <v>0</v>
      </c>
      <c r="AA67">
        <v>16.25</v>
      </c>
      <c r="AB67">
        <v>20.5</v>
      </c>
      <c r="AC67">
        <f t="shared" ref="AC67:AC130" si="28">AA67-$AH$5</f>
        <v>3.25</v>
      </c>
      <c r="AD67">
        <f t="shared" ref="AD67:AD130" si="29">(AB67-$AH$2)/($AH$1-$AH$2)</f>
        <v>0.29151801127862814</v>
      </c>
      <c r="AE67" t="e" cm="1">
        <f t="array" ref="AE67">_xlfn.IFS(AD67&gt;0.9,0,AD67&lt;0.01,0)</f>
        <v>#N/A</v>
      </c>
      <c r="AN67">
        <v>17.25</v>
      </c>
      <c r="AO67">
        <v>33</v>
      </c>
      <c r="AP67">
        <f t="shared" ref="AP67:AP130" si="30">AN67-$AT$5</f>
        <v>7.75</v>
      </c>
      <c r="AQ67">
        <f t="shared" ref="AQ67:AQ130" si="31">(AO67-$AT$2)/($AT$1-$AT$2)</f>
        <v>8.0773472811361727E-2</v>
      </c>
      <c r="AR67" t="e" cm="1">
        <f t="array" ref="AR67">_xlfn.IFS(AQ67&gt;0.9,0,AQ67&lt;0.01,0)</f>
        <v>#N/A</v>
      </c>
      <c r="BA67">
        <v>17.25</v>
      </c>
      <c r="BB67">
        <v>98.5</v>
      </c>
      <c r="BC67">
        <f t="shared" ref="BC67:BC130" si="32">BA67-$BH$5</f>
        <v>-0.5</v>
      </c>
      <c r="BD67">
        <f t="shared" ref="BD67:BD130" si="33">(BB67-$BH$2)/($BH$1-$BH$2)</f>
        <v>0.98538831782026071</v>
      </c>
      <c r="BE67" cm="1">
        <f t="array" ref="BE67">_xlfn.IFS(BD67&gt;0.9,0,BD67&lt;0.01,0)</f>
        <v>0</v>
      </c>
      <c r="BN67">
        <v>17.25</v>
      </c>
      <c r="BO67">
        <v>48.5</v>
      </c>
      <c r="BP67">
        <f t="shared" ref="BP67:BP130" si="34">BN67-$BT$5</f>
        <v>2.25</v>
      </c>
      <c r="BQ67">
        <f t="shared" ref="BQ67:BQ130" si="35">(BO67-$BT$2)/($BT$1-$BT$2)</f>
        <v>0.50132196828741793</v>
      </c>
      <c r="BR67" t="e" cm="1">
        <f t="array" ref="BR67">_xlfn.IFS(BQ67&gt;0.9,0,BQ67&lt;0.01,0)</f>
        <v>#N/A</v>
      </c>
      <c r="CA67">
        <v>17.25</v>
      </c>
      <c r="CB67">
        <v>92.5</v>
      </c>
      <c r="CC67">
        <f t="shared" ref="CC67:CC130" si="36">CA67-$CH$5</f>
        <v>-6</v>
      </c>
      <c r="CD67">
        <f t="shared" ref="CD67:CD130" si="37">(CB67-$CH$2)/($CH$1-$CH$2)</f>
        <v>1.000836530073256</v>
      </c>
      <c r="CE67" cm="1">
        <f t="array" ref="CE67">_xlfn.IFS(CD67&gt;0.9,0,CD67&lt;0.01,0)</f>
        <v>0</v>
      </c>
      <c r="CN67">
        <v>17.25</v>
      </c>
      <c r="CO67">
        <v>93</v>
      </c>
      <c r="CP67">
        <f t="shared" ref="CP67:CP130" si="38">CN67-$CT$5</f>
        <v>3.25</v>
      </c>
      <c r="CQ67">
        <f t="shared" ref="CQ67:CQ130" si="39">(CO67-$CT$2)/($CT$1-$CT$2)</f>
        <v>3.7196228138287352E-2</v>
      </c>
      <c r="CR67" t="e" cm="1">
        <f t="array" ref="CR67">_xlfn.IFS(CQ67&gt;0.9,0,CQ67&lt;0.01,0)</f>
        <v>#N/A</v>
      </c>
      <c r="DA67">
        <v>17.25</v>
      </c>
      <c r="DB67">
        <v>63.5</v>
      </c>
      <c r="DC67">
        <f t="shared" ref="DC67:DC130" si="40">DA67-$DH$5</f>
        <v>2.5</v>
      </c>
      <c r="DD67">
        <f t="shared" ref="DD67:DD130" si="41">(DB67-$DH$2)/($DH$1-$DH$2)</f>
        <v>0.38743368612462148</v>
      </c>
      <c r="DE67" t="e" cm="1">
        <f t="array" ref="DE67">_xlfn.IFS(DD67&gt;0.9,0,DD67&lt;0.01,0)</f>
        <v>#N/A</v>
      </c>
      <c r="DN67">
        <v>17.25</v>
      </c>
      <c r="DO67">
        <v>98</v>
      </c>
      <c r="DP67">
        <f t="shared" ref="DP67:DP130" si="42">DN67-$DT$5</f>
        <v>4</v>
      </c>
      <c r="DQ67">
        <f t="shared" ref="DQ67:DQ130" si="43">(DO67-$DT$2)/($DT$1-$DT$2)</f>
        <v>1.9181322799682418E-2</v>
      </c>
      <c r="DR67" t="e" cm="1">
        <f t="array" ref="DR67">_xlfn.IFS(DQ67&gt;0.9,0,DQ67&lt;0.01,0)</f>
        <v>#N/A</v>
      </c>
    </row>
    <row r="68" spans="1:122" x14ac:dyDescent="0.4">
      <c r="A68">
        <v>17.5</v>
      </c>
      <c r="B68">
        <v>98</v>
      </c>
      <c r="C68">
        <f t="shared" si="24"/>
        <v>5.3000000000000007</v>
      </c>
      <c r="D68">
        <f t="shared" si="25"/>
        <v>1.9290535140039141E-2</v>
      </c>
      <c r="E68" t="e" cm="1">
        <f t="array" ref="E68">_xlfn.IFS(D68&gt;0.9,0,D68&lt;0.01,0)</f>
        <v>#N/A</v>
      </c>
      <c r="F68">
        <v>98</v>
      </c>
      <c r="N68">
        <v>17.5</v>
      </c>
      <c r="O68">
        <f t="shared" si="23"/>
        <v>102</v>
      </c>
      <c r="P68">
        <f t="shared" si="26"/>
        <v>-4.5</v>
      </c>
      <c r="Q68">
        <f t="shared" si="27"/>
        <v>1.0003224742570267</v>
      </c>
      <c r="R68" cm="1">
        <f t="array" ref="R68">_xlfn.IFS(Q68&gt;0.9,0,Q68&lt;0.01,0)</f>
        <v>0</v>
      </c>
      <c r="AA68">
        <v>16.5</v>
      </c>
      <c r="AB68">
        <v>20.75</v>
      </c>
      <c r="AC68">
        <f t="shared" si="28"/>
        <v>3.5</v>
      </c>
      <c r="AD68">
        <f t="shared" si="29"/>
        <v>0.27831165841869027</v>
      </c>
      <c r="AE68" t="e" cm="1">
        <f t="array" ref="AE68">_xlfn.IFS(AD68&gt;0.9,0,AD68&lt;0.01,0)</f>
        <v>#N/A</v>
      </c>
      <c r="AN68">
        <v>17.5</v>
      </c>
      <c r="AO68">
        <v>32.5</v>
      </c>
      <c r="AP68">
        <f t="shared" si="30"/>
        <v>8</v>
      </c>
      <c r="AQ68">
        <f t="shared" si="31"/>
        <v>7.4069382698504396E-2</v>
      </c>
      <c r="AR68" t="e" cm="1">
        <f t="array" ref="AR68">_xlfn.IFS(AQ68&gt;0.9,0,AQ68&lt;0.01,0)</f>
        <v>#N/A</v>
      </c>
      <c r="BA68">
        <v>17.5</v>
      </c>
      <c r="BB68">
        <v>97.5</v>
      </c>
      <c r="BC68">
        <f t="shared" si="32"/>
        <v>-0.25</v>
      </c>
      <c r="BD68">
        <f t="shared" si="33"/>
        <v>0.97462736776731185</v>
      </c>
      <c r="BE68" cm="1">
        <f t="array" ref="BE68">_xlfn.IFS(BD68&gt;0.9,0,BD68&lt;0.01,0)</f>
        <v>0</v>
      </c>
      <c r="BN68">
        <v>17.5</v>
      </c>
      <c r="BO68">
        <v>51.25</v>
      </c>
      <c r="BP68">
        <f t="shared" si="34"/>
        <v>2.5</v>
      </c>
      <c r="BQ68">
        <f t="shared" si="35"/>
        <v>0.46859317657538962</v>
      </c>
      <c r="BR68" t="e" cm="1">
        <f t="array" ref="BR68">_xlfn.IFS(BQ68&gt;0.9,0,BQ68&lt;0.01,0)</f>
        <v>#N/A</v>
      </c>
      <c r="CA68">
        <v>17.5</v>
      </c>
      <c r="CB68">
        <v>92.75</v>
      </c>
      <c r="CC68">
        <f t="shared" si="36"/>
        <v>-5.75</v>
      </c>
      <c r="CD68">
        <f t="shared" si="37"/>
        <v>1.0038145771340479</v>
      </c>
      <c r="CE68" cm="1">
        <f t="array" ref="CE68">_xlfn.IFS(CD68&gt;0.9,0,CD68&lt;0.01,0)</f>
        <v>0</v>
      </c>
      <c r="CN68">
        <v>17.5</v>
      </c>
      <c r="CO68">
        <v>93</v>
      </c>
      <c r="CP68">
        <f t="shared" si="38"/>
        <v>3.5</v>
      </c>
      <c r="CQ68">
        <f t="shared" si="39"/>
        <v>3.7196228138287352E-2</v>
      </c>
      <c r="CR68" t="e" cm="1">
        <f t="array" ref="CR68">_xlfn.IFS(CQ68&gt;0.9,0,CQ68&lt;0.01,0)</f>
        <v>#N/A</v>
      </c>
      <c r="DA68">
        <v>17.5</v>
      </c>
      <c r="DB68">
        <v>66.25</v>
      </c>
      <c r="DC68">
        <f t="shared" si="40"/>
        <v>2.75</v>
      </c>
      <c r="DD68">
        <f t="shared" si="41"/>
        <v>0.35649809775172786</v>
      </c>
      <c r="DE68" t="e" cm="1">
        <f t="array" ref="DE68">_xlfn.IFS(DD68&gt;0.9,0,DD68&lt;0.01,0)</f>
        <v>#N/A</v>
      </c>
      <c r="DN68">
        <v>17.5</v>
      </c>
      <c r="DO68">
        <v>98.25</v>
      </c>
      <c r="DP68">
        <f t="shared" si="42"/>
        <v>4.25</v>
      </c>
      <c r="DQ68">
        <f t="shared" si="43"/>
        <v>1.6524717498489789E-2</v>
      </c>
      <c r="DR68" t="e" cm="1">
        <f t="array" ref="DR68">_xlfn.IFS(DQ68&gt;0.9,0,DQ68&lt;0.01,0)</f>
        <v>#N/A</v>
      </c>
    </row>
    <row r="69" spans="1:122" x14ac:dyDescent="0.4">
      <c r="A69">
        <v>17.75</v>
      </c>
      <c r="B69">
        <v>98.25</v>
      </c>
      <c r="C69">
        <f t="shared" si="24"/>
        <v>5.5500000000000007</v>
      </c>
      <c r="D69">
        <f t="shared" si="25"/>
        <v>1.666434842542986E-2</v>
      </c>
      <c r="E69" t="e" cm="1">
        <f t="array" ref="E69">_xlfn.IFS(D69&gt;0.9,0,D69&lt;0.01,0)</f>
        <v>#N/A</v>
      </c>
      <c r="F69">
        <v>98.25</v>
      </c>
      <c r="N69">
        <v>17.75</v>
      </c>
      <c r="O69">
        <f t="shared" si="23"/>
        <v>101.75</v>
      </c>
      <c r="P69">
        <f t="shared" si="26"/>
        <v>-4.25</v>
      </c>
      <c r="Q69">
        <f t="shared" si="27"/>
        <v>0.99767818534940822</v>
      </c>
      <c r="R69" cm="1">
        <f t="array" ref="R69">_xlfn.IFS(Q69&gt;0.9,0,Q69&lt;0.01,0)</f>
        <v>0</v>
      </c>
      <c r="AA69">
        <v>16.75</v>
      </c>
      <c r="AB69">
        <v>21</v>
      </c>
      <c r="AC69">
        <f t="shared" si="28"/>
        <v>3.75</v>
      </c>
      <c r="AD69">
        <f t="shared" si="29"/>
        <v>0.26510530555875245</v>
      </c>
      <c r="AE69" t="e" cm="1">
        <f t="array" ref="AE69">_xlfn.IFS(AD69&gt;0.9,0,AD69&lt;0.01,0)</f>
        <v>#N/A</v>
      </c>
      <c r="AN69">
        <v>17.75</v>
      </c>
      <c r="AO69">
        <v>32.5</v>
      </c>
      <c r="AP69">
        <f t="shared" si="30"/>
        <v>8.25</v>
      </c>
      <c r="AQ69">
        <f t="shared" si="31"/>
        <v>7.4069382698504396E-2</v>
      </c>
      <c r="AR69" t="e" cm="1">
        <f t="array" ref="AR69">_xlfn.IFS(AQ69&gt;0.9,0,AQ69&lt;0.01,0)</f>
        <v>#N/A</v>
      </c>
      <c r="BA69">
        <v>17.75</v>
      </c>
      <c r="BB69">
        <v>96.25</v>
      </c>
      <c r="BC69">
        <f t="shared" si="32"/>
        <v>0</v>
      </c>
      <c r="BD69">
        <f t="shared" si="33"/>
        <v>0.96117618020112583</v>
      </c>
      <c r="BE69" cm="1">
        <f t="array" ref="BE69">_xlfn.IFS(BD69&gt;0.9,0,BD69&lt;0.01,0)</f>
        <v>0</v>
      </c>
      <c r="BN69">
        <v>17.75</v>
      </c>
      <c r="BO69">
        <v>53.75</v>
      </c>
      <c r="BP69">
        <f t="shared" si="34"/>
        <v>2.75</v>
      </c>
      <c r="BQ69">
        <f t="shared" si="35"/>
        <v>0.43883972956445477</v>
      </c>
      <c r="BR69" t="e" cm="1">
        <f t="array" ref="BR69">_xlfn.IFS(BQ69&gt;0.9,0,BQ69&lt;0.01,0)</f>
        <v>#N/A</v>
      </c>
      <c r="CA69">
        <v>17.75</v>
      </c>
      <c r="CB69">
        <v>93</v>
      </c>
      <c r="CC69">
        <f t="shared" si="36"/>
        <v>-5.5</v>
      </c>
      <c r="CD69">
        <f t="shared" si="37"/>
        <v>1.0067926241948397</v>
      </c>
      <c r="CE69" cm="1">
        <f t="array" ref="CE69">_xlfn.IFS(CD69&gt;0.9,0,CD69&lt;0.01,0)</f>
        <v>0</v>
      </c>
      <c r="CN69">
        <v>17.75</v>
      </c>
      <c r="CO69">
        <v>93</v>
      </c>
      <c r="CP69">
        <f t="shared" si="38"/>
        <v>3.75</v>
      </c>
      <c r="CQ69">
        <f t="shared" si="39"/>
        <v>3.7196228138287352E-2</v>
      </c>
      <c r="CR69" t="e" cm="1">
        <f t="array" ref="CR69">_xlfn.IFS(CQ69&gt;0.9,0,CQ69&lt;0.01,0)</f>
        <v>#N/A</v>
      </c>
      <c r="DA69">
        <v>17.75</v>
      </c>
      <c r="DB69">
        <v>68.25</v>
      </c>
      <c r="DC69">
        <f t="shared" si="40"/>
        <v>3</v>
      </c>
      <c r="DD69">
        <f t="shared" si="41"/>
        <v>0.333999488025987</v>
      </c>
      <c r="DE69" t="e" cm="1">
        <f t="array" ref="DE69">_xlfn.IFS(DD69&gt;0.9,0,DD69&lt;0.01,0)</f>
        <v>#N/A</v>
      </c>
      <c r="DN69">
        <v>17.75</v>
      </c>
      <c r="DO69">
        <v>98.5</v>
      </c>
      <c r="DP69">
        <f t="shared" si="42"/>
        <v>4.5</v>
      </c>
      <c r="DQ69">
        <f t="shared" si="43"/>
        <v>1.3868112197297165E-2</v>
      </c>
      <c r="DR69" t="e" cm="1">
        <f t="array" ref="DR69">_xlfn.IFS(DQ69&gt;0.9,0,DQ69&lt;0.01,0)</f>
        <v>#N/A</v>
      </c>
    </row>
    <row r="70" spans="1:122" x14ac:dyDescent="0.4">
      <c r="A70">
        <v>18</v>
      </c>
      <c r="B70">
        <v>98.75</v>
      </c>
      <c r="C70">
        <f t="shared" si="24"/>
        <v>5.8000000000000007</v>
      </c>
      <c r="D70">
        <f t="shared" si="25"/>
        <v>1.1411974996211303E-2</v>
      </c>
      <c r="E70" t="e" cm="1">
        <f t="array" ref="E70">_xlfn.IFS(D70&gt;0.9,0,D70&lt;0.01,0)</f>
        <v>#N/A</v>
      </c>
      <c r="F70">
        <v>98.75</v>
      </c>
      <c r="N70">
        <v>18</v>
      </c>
      <c r="O70">
        <f t="shared" si="23"/>
        <v>102.25</v>
      </c>
      <c r="P70">
        <f t="shared" si="26"/>
        <v>-4</v>
      </c>
      <c r="Q70">
        <f t="shared" si="27"/>
        <v>1.0029667631646451</v>
      </c>
      <c r="R70" cm="1">
        <f t="array" ref="R70">_xlfn.IFS(Q70&gt;0.9,0,Q70&lt;0.01,0)</f>
        <v>0</v>
      </c>
      <c r="AA70">
        <v>17</v>
      </c>
      <c r="AB70">
        <v>21</v>
      </c>
      <c r="AC70">
        <f t="shared" si="28"/>
        <v>4</v>
      </c>
      <c r="AD70">
        <f t="shared" si="29"/>
        <v>0.26510530555875245</v>
      </c>
      <c r="AE70" t="e" cm="1">
        <f t="array" ref="AE70">_xlfn.IFS(AD70&gt;0.9,0,AD70&lt;0.01,0)</f>
        <v>#N/A</v>
      </c>
      <c r="AN70">
        <v>18</v>
      </c>
      <c r="AO70">
        <v>32</v>
      </c>
      <c r="AP70">
        <f t="shared" si="30"/>
        <v>8.5</v>
      </c>
      <c r="AQ70">
        <f t="shared" si="31"/>
        <v>6.7365292585647066E-2</v>
      </c>
      <c r="AR70" t="e" cm="1">
        <f t="array" ref="AR70">_xlfn.IFS(AQ70&gt;0.9,0,AQ70&lt;0.01,0)</f>
        <v>#N/A</v>
      </c>
      <c r="BA70">
        <v>18</v>
      </c>
      <c r="BB70">
        <v>94.5</v>
      </c>
      <c r="BC70">
        <f t="shared" si="32"/>
        <v>0.25</v>
      </c>
      <c r="BD70">
        <f t="shared" si="33"/>
        <v>0.94234451760846538</v>
      </c>
      <c r="BE70" cm="1">
        <f t="array" ref="BE70">_xlfn.IFS(BD70&gt;0.9,0,BD70&lt;0.01,0)</f>
        <v>0</v>
      </c>
      <c r="BN70">
        <v>18</v>
      </c>
      <c r="BO70">
        <v>57</v>
      </c>
      <c r="BP70">
        <f t="shared" si="34"/>
        <v>3</v>
      </c>
      <c r="BQ70">
        <f t="shared" si="35"/>
        <v>0.40016024845023951</v>
      </c>
      <c r="BR70" t="e" cm="1">
        <f t="array" ref="BR70">_xlfn.IFS(BQ70&gt;0.9,0,BQ70&lt;0.01,0)</f>
        <v>#N/A</v>
      </c>
      <c r="CA70">
        <v>18</v>
      </c>
      <c r="CB70">
        <v>93.25</v>
      </c>
      <c r="CC70">
        <f t="shared" si="36"/>
        <v>-5.25</v>
      </c>
      <c r="CD70">
        <f t="shared" si="37"/>
        <v>1.0097706712556316</v>
      </c>
      <c r="CE70" cm="1">
        <f t="array" ref="CE70">_xlfn.IFS(CD70&gt;0.9,0,CD70&lt;0.01,0)</f>
        <v>0</v>
      </c>
      <c r="CN70">
        <v>18</v>
      </c>
      <c r="CO70">
        <v>93</v>
      </c>
      <c r="CP70">
        <f t="shared" si="38"/>
        <v>4</v>
      </c>
      <c r="CQ70">
        <f t="shared" si="39"/>
        <v>3.7196228138287352E-2</v>
      </c>
      <c r="CR70" t="e" cm="1">
        <f t="array" ref="CR70">_xlfn.IFS(CQ70&gt;0.9,0,CQ70&lt;0.01,0)</f>
        <v>#N/A</v>
      </c>
      <c r="DA70">
        <v>18</v>
      </c>
      <c r="DB70">
        <v>71</v>
      </c>
      <c r="DC70">
        <f t="shared" si="40"/>
        <v>3.25</v>
      </c>
      <c r="DD70">
        <f t="shared" si="41"/>
        <v>0.30306389965309338</v>
      </c>
      <c r="DE70" t="e" cm="1">
        <f t="array" ref="DE70">_xlfn.IFS(DD70&gt;0.9,0,DD70&lt;0.01,0)</f>
        <v>#N/A</v>
      </c>
      <c r="DN70">
        <v>18</v>
      </c>
      <c r="DO70">
        <v>98.5</v>
      </c>
      <c r="DP70">
        <f t="shared" si="42"/>
        <v>4.75</v>
      </c>
      <c r="DQ70">
        <f t="shared" si="43"/>
        <v>1.3868112197297165E-2</v>
      </c>
      <c r="DR70" t="e" cm="1">
        <f t="array" ref="DR70">_xlfn.IFS(DQ70&gt;0.9,0,DQ70&lt;0.01,0)</f>
        <v>#N/A</v>
      </c>
    </row>
    <row r="71" spans="1:122" x14ac:dyDescent="0.4">
      <c r="A71">
        <v>18.25</v>
      </c>
      <c r="B71">
        <v>99</v>
      </c>
      <c r="C71">
        <f t="shared" si="24"/>
        <v>6.0500000000000007</v>
      </c>
      <c r="D71">
        <f t="shared" si="25"/>
        <v>8.7857882816020239E-3</v>
      </c>
      <c r="E71" cm="1">
        <f t="array" ref="E71">_xlfn.IFS(D71&gt;0.9,0,D71&lt;0.01,0)</f>
        <v>0</v>
      </c>
      <c r="N71">
        <v>18.25</v>
      </c>
      <c r="O71">
        <f t="shared" si="23"/>
        <v>101.75</v>
      </c>
      <c r="P71">
        <f t="shared" si="26"/>
        <v>-3.75</v>
      </c>
      <c r="Q71">
        <f t="shared" si="27"/>
        <v>0.99767818534940822</v>
      </c>
      <c r="R71" cm="1">
        <f t="array" ref="R71">_xlfn.IFS(Q71&gt;0.9,0,Q71&lt;0.01,0)</f>
        <v>0</v>
      </c>
      <c r="AA71">
        <v>17.25</v>
      </c>
      <c r="AB71">
        <v>21.5</v>
      </c>
      <c r="AC71">
        <f t="shared" si="28"/>
        <v>4.25</v>
      </c>
      <c r="AD71">
        <f t="shared" si="29"/>
        <v>0.23869259983887672</v>
      </c>
      <c r="AE71" t="e" cm="1">
        <f t="array" ref="AE71">_xlfn.IFS(AD71&gt;0.9,0,AD71&lt;0.01,0)</f>
        <v>#N/A</v>
      </c>
      <c r="AN71">
        <v>18.25</v>
      </c>
      <c r="AO71">
        <v>32</v>
      </c>
      <c r="AP71">
        <f t="shared" si="30"/>
        <v>8.75</v>
      </c>
      <c r="AQ71">
        <f t="shared" si="31"/>
        <v>6.7365292585647066E-2</v>
      </c>
      <c r="AR71" t="e" cm="1">
        <f t="array" ref="AR71">_xlfn.IFS(AQ71&gt;0.9,0,AQ71&lt;0.01,0)</f>
        <v>#N/A</v>
      </c>
      <c r="BA71">
        <v>18.25</v>
      </c>
      <c r="BB71">
        <v>92.25</v>
      </c>
      <c r="BC71">
        <f t="shared" si="32"/>
        <v>0.5</v>
      </c>
      <c r="BD71">
        <f t="shared" si="33"/>
        <v>0.91813237998933062</v>
      </c>
      <c r="BE71" cm="1">
        <f t="array" ref="BE71">_xlfn.IFS(BD71&gt;0.9,0,BD71&lt;0.01,0)</f>
        <v>0</v>
      </c>
      <c r="BN71">
        <v>18.25</v>
      </c>
      <c r="BO71">
        <v>59</v>
      </c>
      <c r="BP71">
        <f t="shared" si="34"/>
        <v>3.25</v>
      </c>
      <c r="BQ71">
        <f t="shared" si="35"/>
        <v>0.37635749084149162</v>
      </c>
      <c r="BR71" t="e" cm="1">
        <f t="array" ref="BR71">_xlfn.IFS(BQ71&gt;0.9,0,BQ71&lt;0.01,0)</f>
        <v>#N/A</v>
      </c>
      <c r="CA71">
        <v>18.25</v>
      </c>
      <c r="CB71">
        <v>93.5</v>
      </c>
      <c r="CC71">
        <f t="shared" si="36"/>
        <v>-5</v>
      </c>
      <c r="CD71">
        <f t="shared" si="37"/>
        <v>1.0127487183164234</v>
      </c>
      <c r="CE71" cm="1">
        <f t="array" ref="CE71">_xlfn.IFS(CD71&gt;0.9,0,CD71&lt;0.01,0)</f>
        <v>0</v>
      </c>
      <c r="CN71">
        <v>18.25</v>
      </c>
      <c r="CO71">
        <v>93</v>
      </c>
      <c r="CP71">
        <f t="shared" si="38"/>
        <v>4.25</v>
      </c>
      <c r="CQ71">
        <f t="shared" si="39"/>
        <v>3.7196228138287352E-2</v>
      </c>
      <c r="CR71" t="e" cm="1">
        <f t="array" ref="CR71">_xlfn.IFS(CQ71&gt;0.9,0,CQ71&lt;0.01,0)</f>
        <v>#N/A</v>
      </c>
      <c r="DA71">
        <v>18.25</v>
      </c>
      <c r="DB71">
        <v>72.75</v>
      </c>
      <c r="DC71">
        <f t="shared" si="40"/>
        <v>3.5</v>
      </c>
      <c r="DD71">
        <f t="shared" si="41"/>
        <v>0.28337761614307017</v>
      </c>
      <c r="DE71" t="e" cm="1">
        <f t="array" ref="DE71">_xlfn.IFS(DD71&gt;0.9,0,DD71&lt;0.01,0)</f>
        <v>#N/A</v>
      </c>
      <c r="DN71">
        <v>18.25</v>
      </c>
      <c r="DO71">
        <v>98.75</v>
      </c>
      <c r="DP71">
        <f t="shared" si="42"/>
        <v>5</v>
      </c>
      <c r="DQ71">
        <f t="shared" si="43"/>
        <v>1.1211506896104537E-2</v>
      </c>
      <c r="DR71" t="e" cm="1">
        <f t="array" ref="DR71">_xlfn.IFS(DQ71&gt;0.9,0,DQ71&lt;0.01,0)</f>
        <v>#N/A</v>
      </c>
    </row>
    <row r="72" spans="1:122" x14ac:dyDescent="0.4">
      <c r="A72">
        <v>18.5</v>
      </c>
      <c r="B72">
        <v>99.25</v>
      </c>
      <c r="C72">
        <f t="shared" si="24"/>
        <v>6.3000000000000007</v>
      </c>
      <c r="D72">
        <f t="shared" si="25"/>
        <v>6.1596015669927442E-3</v>
      </c>
      <c r="E72" cm="1">
        <f t="array" ref="E72">_xlfn.IFS(D72&gt;0.9,0,D72&lt;0.01,0)</f>
        <v>0</v>
      </c>
      <c r="N72">
        <v>18.5</v>
      </c>
      <c r="O72">
        <f t="shared" si="23"/>
        <v>102.5</v>
      </c>
      <c r="P72">
        <f t="shared" si="26"/>
        <v>-3.5</v>
      </c>
      <c r="Q72">
        <f t="shared" si="27"/>
        <v>1.0056110520722636</v>
      </c>
      <c r="R72" cm="1">
        <f t="array" ref="R72">_xlfn.IFS(Q72&gt;0.9,0,Q72&lt;0.01,0)</f>
        <v>0</v>
      </c>
      <c r="AA72">
        <v>17.5</v>
      </c>
      <c r="AB72">
        <v>21.5</v>
      </c>
      <c r="AC72">
        <f t="shared" si="28"/>
        <v>4.5</v>
      </c>
      <c r="AD72">
        <f t="shared" si="29"/>
        <v>0.23869259983887672</v>
      </c>
      <c r="AE72" t="e" cm="1">
        <f t="array" ref="AE72">_xlfn.IFS(AD72&gt;0.9,0,AD72&lt;0.01,0)</f>
        <v>#N/A</v>
      </c>
      <c r="AN72">
        <v>18.5</v>
      </c>
      <c r="AO72">
        <v>31.75</v>
      </c>
      <c r="AP72">
        <f t="shared" si="30"/>
        <v>9</v>
      </c>
      <c r="AQ72">
        <f t="shared" si="31"/>
        <v>6.4013247529218387E-2</v>
      </c>
      <c r="AR72" t="e" cm="1">
        <f t="array" ref="AR72">_xlfn.IFS(AQ72&gt;0.9,0,AQ72&lt;0.01,0)</f>
        <v>#N/A</v>
      </c>
      <c r="BA72">
        <v>18.5</v>
      </c>
      <c r="BB72">
        <v>85.75</v>
      </c>
      <c r="BC72">
        <f t="shared" si="32"/>
        <v>0.75</v>
      </c>
      <c r="BD72">
        <f t="shared" si="33"/>
        <v>0.84818620464516337</v>
      </c>
      <c r="BE72" t="e" cm="1">
        <f t="array" ref="BE72">_xlfn.IFS(BD72&gt;0.9,0,BD72&lt;0.01,0)</f>
        <v>#N/A</v>
      </c>
      <c r="BN72">
        <v>18.5</v>
      </c>
      <c r="BO72">
        <v>61.5</v>
      </c>
      <c r="BP72">
        <f t="shared" si="34"/>
        <v>3.5</v>
      </c>
      <c r="BQ72">
        <f t="shared" si="35"/>
        <v>0.34660404383055676</v>
      </c>
      <c r="BR72" t="e" cm="1">
        <f t="array" ref="BR72">_xlfn.IFS(BQ72&gt;0.9,0,BQ72&lt;0.01,0)</f>
        <v>#N/A</v>
      </c>
      <c r="CA72">
        <v>18.5</v>
      </c>
      <c r="CB72">
        <v>93.5</v>
      </c>
      <c r="CC72">
        <f t="shared" si="36"/>
        <v>-4.75</v>
      </c>
      <c r="CD72">
        <f t="shared" si="37"/>
        <v>1.0127487183164234</v>
      </c>
      <c r="CE72" cm="1">
        <f t="array" ref="CE72">_xlfn.IFS(CD72&gt;0.9,0,CD72&lt;0.01,0)</f>
        <v>0</v>
      </c>
      <c r="CN72">
        <v>18.5</v>
      </c>
      <c r="CO72">
        <v>93.25</v>
      </c>
      <c r="CP72">
        <f t="shared" si="38"/>
        <v>4.5</v>
      </c>
      <c r="CQ72">
        <f t="shared" si="39"/>
        <v>3.4413707202749083E-2</v>
      </c>
      <c r="CR72" t="e" cm="1">
        <f t="array" ref="CR72">_xlfn.IFS(CQ72&gt;0.9,0,CQ72&lt;0.01,0)</f>
        <v>#N/A</v>
      </c>
      <c r="DA72">
        <v>18.5</v>
      </c>
      <c r="DB72">
        <v>75</v>
      </c>
      <c r="DC72">
        <f t="shared" si="40"/>
        <v>3.75</v>
      </c>
      <c r="DD72">
        <f t="shared" si="41"/>
        <v>0.25806668020161178</v>
      </c>
      <c r="DE72" t="e" cm="1">
        <f t="array" ref="DE72">_xlfn.IFS(DD72&gt;0.9,0,DD72&lt;0.01,0)</f>
        <v>#N/A</v>
      </c>
      <c r="DN72">
        <v>18.5</v>
      </c>
      <c r="DO72">
        <v>98.75</v>
      </c>
      <c r="DP72">
        <f t="shared" si="42"/>
        <v>5.25</v>
      </c>
      <c r="DQ72">
        <f t="shared" si="43"/>
        <v>1.1211506896104537E-2</v>
      </c>
      <c r="DR72" t="e" cm="1">
        <f t="array" ref="DR72">_xlfn.IFS(DQ72&gt;0.9,0,DQ72&lt;0.01,0)</f>
        <v>#N/A</v>
      </c>
    </row>
    <row r="73" spans="1:122" x14ac:dyDescent="0.4">
      <c r="A73">
        <v>18.75</v>
      </c>
      <c r="B73">
        <v>99.25</v>
      </c>
      <c r="C73">
        <f t="shared" si="24"/>
        <v>6.5500000000000007</v>
      </c>
      <c r="D73">
        <f t="shared" si="25"/>
        <v>6.1596015669927442E-3</v>
      </c>
      <c r="E73" cm="1">
        <f t="array" ref="E73">_xlfn.IFS(D73&gt;0.9,0,D73&lt;0.01,0)</f>
        <v>0</v>
      </c>
      <c r="N73">
        <v>18.75</v>
      </c>
      <c r="O73">
        <f t="shared" si="23"/>
        <v>102.5</v>
      </c>
      <c r="P73">
        <f t="shared" si="26"/>
        <v>-3.25</v>
      </c>
      <c r="Q73">
        <f t="shared" si="27"/>
        <v>1.0056110520722636</v>
      </c>
      <c r="R73" cm="1">
        <f t="array" ref="R73">_xlfn.IFS(Q73&gt;0.9,0,Q73&lt;0.01,0)</f>
        <v>0</v>
      </c>
      <c r="AA73">
        <v>17.75</v>
      </c>
      <c r="AB73">
        <v>22</v>
      </c>
      <c r="AC73">
        <f t="shared" si="28"/>
        <v>4.75</v>
      </c>
      <c r="AD73">
        <f t="shared" si="29"/>
        <v>0.21227989411900103</v>
      </c>
      <c r="AE73" t="e" cm="1">
        <f t="array" ref="AE73">_xlfn.IFS(AD73&gt;0.9,0,AD73&lt;0.01,0)</f>
        <v>#N/A</v>
      </c>
      <c r="AN73">
        <v>18.75</v>
      </c>
      <c r="AO73">
        <v>31.5</v>
      </c>
      <c r="AP73">
        <f t="shared" si="30"/>
        <v>9.25</v>
      </c>
      <c r="AQ73">
        <f t="shared" si="31"/>
        <v>6.0661202472789728E-2</v>
      </c>
      <c r="AR73" t="e" cm="1">
        <f t="array" ref="AR73">_xlfn.IFS(AQ73&gt;0.9,0,AQ73&lt;0.01,0)</f>
        <v>#N/A</v>
      </c>
      <c r="BA73">
        <v>18.75</v>
      </c>
      <c r="BB73">
        <v>80.25</v>
      </c>
      <c r="BC73">
        <f t="shared" si="32"/>
        <v>1</v>
      </c>
      <c r="BD73">
        <f t="shared" si="33"/>
        <v>0.78900097935394486</v>
      </c>
      <c r="BE73" t="e" cm="1">
        <f t="array" ref="BE73">_xlfn.IFS(BD73&gt;0.9,0,BD73&lt;0.01,0)</f>
        <v>#N/A</v>
      </c>
      <c r="BN73">
        <v>18.75</v>
      </c>
      <c r="BO73">
        <v>63.25</v>
      </c>
      <c r="BP73">
        <f t="shared" si="34"/>
        <v>3.75</v>
      </c>
      <c r="BQ73">
        <f t="shared" si="35"/>
        <v>0.32577663092290238</v>
      </c>
      <c r="BR73" t="e" cm="1">
        <f t="array" ref="BR73">_xlfn.IFS(BQ73&gt;0.9,0,BQ73&lt;0.01,0)</f>
        <v>#N/A</v>
      </c>
      <c r="CA73">
        <v>18.75</v>
      </c>
      <c r="CB73">
        <v>93.25</v>
      </c>
      <c r="CC73">
        <f t="shared" si="36"/>
        <v>-4.5</v>
      </c>
      <c r="CD73">
        <f t="shared" si="37"/>
        <v>1.0097706712556316</v>
      </c>
      <c r="CE73" cm="1">
        <f t="array" ref="CE73">_xlfn.IFS(CD73&gt;0.9,0,CD73&lt;0.01,0)</f>
        <v>0</v>
      </c>
      <c r="CN73">
        <v>18.75</v>
      </c>
      <c r="CO73">
        <v>93.5</v>
      </c>
      <c r="CP73">
        <f t="shared" si="38"/>
        <v>4.75</v>
      </c>
      <c r="CQ73">
        <f t="shared" si="39"/>
        <v>3.1631186267210822E-2</v>
      </c>
      <c r="CR73" t="e" cm="1">
        <f t="array" ref="CR73">_xlfn.IFS(CQ73&gt;0.9,0,CQ73&lt;0.01,0)</f>
        <v>#N/A</v>
      </c>
      <c r="DA73">
        <v>18.75</v>
      </c>
      <c r="DB73">
        <v>76.75</v>
      </c>
      <c r="DC73">
        <f t="shared" si="40"/>
        <v>4</v>
      </c>
      <c r="DD73">
        <f t="shared" si="41"/>
        <v>0.23838039669158856</v>
      </c>
      <c r="DE73" t="e" cm="1">
        <f t="array" ref="DE73">_xlfn.IFS(DD73&gt;0.9,0,DD73&lt;0.01,0)</f>
        <v>#N/A</v>
      </c>
      <c r="DN73">
        <v>18.75</v>
      </c>
      <c r="DO73">
        <v>98.75</v>
      </c>
      <c r="DP73">
        <f t="shared" si="42"/>
        <v>5.5</v>
      </c>
      <c r="DQ73">
        <f t="shared" si="43"/>
        <v>1.1211506896104537E-2</v>
      </c>
      <c r="DR73" t="e" cm="1">
        <f t="array" ref="DR73">_xlfn.IFS(DQ73&gt;0.9,0,DQ73&lt;0.01,0)</f>
        <v>#N/A</v>
      </c>
    </row>
    <row r="74" spans="1:122" x14ac:dyDescent="0.4">
      <c r="A74">
        <v>19</v>
      </c>
      <c r="B74">
        <v>99.5</v>
      </c>
      <c r="C74">
        <f t="shared" si="24"/>
        <v>6.8000000000000007</v>
      </c>
      <c r="D74">
        <f t="shared" si="25"/>
        <v>3.5334148523834649E-3</v>
      </c>
      <c r="E74" cm="1">
        <f t="array" ref="E74">_xlfn.IFS(D74&gt;0.9,0,D74&lt;0.01,0)</f>
        <v>0</v>
      </c>
      <c r="N74">
        <v>19</v>
      </c>
      <c r="O74">
        <f t="shared" si="23"/>
        <v>101.75</v>
      </c>
      <c r="P74">
        <f t="shared" si="26"/>
        <v>-3</v>
      </c>
      <c r="Q74">
        <f t="shared" si="27"/>
        <v>0.99767818534940822</v>
      </c>
      <c r="R74" cm="1">
        <f t="array" ref="R74">_xlfn.IFS(Q74&gt;0.9,0,Q74&lt;0.01,0)</f>
        <v>0</v>
      </c>
      <c r="AA74">
        <v>18</v>
      </c>
      <c r="AB74">
        <v>22.5</v>
      </c>
      <c r="AC74">
        <f t="shared" si="28"/>
        <v>5</v>
      </c>
      <c r="AD74">
        <f t="shared" si="29"/>
        <v>0.18586718839912533</v>
      </c>
      <c r="AE74" t="e" cm="1">
        <f t="array" ref="AE74">_xlfn.IFS(AD74&gt;0.9,0,AD74&lt;0.01,0)</f>
        <v>#N/A</v>
      </c>
      <c r="AN74">
        <v>19</v>
      </c>
      <c r="AO74">
        <v>31.25</v>
      </c>
      <c r="AP74">
        <f t="shared" si="30"/>
        <v>9.5</v>
      </c>
      <c r="AQ74">
        <f t="shared" si="31"/>
        <v>5.7309157416361063E-2</v>
      </c>
      <c r="AR74" t="e" cm="1">
        <f t="array" ref="AR74">_xlfn.IFS(AQ74&gt;0.9,0,AQ74&lt;0.01,0)</f>
        <v>#N/A</v>
      </c>
      <c r="BA74">
        <v>19</v>
      </c>
      <c r="BB74">
        <v>74.75</v>
      </c>
      <c r="BC74">
        <f t="shared" si="32"/>
        <v>1.25</v>
      </c>
      <c r="BD74">
        <f t="shared" si="33"/>
        <v>0.72981575406272636</v>
      </c>
      <c r="BE74" t="e" cm="1">
        <f t="array" ref="BE74">_xlfn.IFS(BD74&gt;0.9,0,BD74&lt;0.01,0)</f>
        <v>#N/A</v>
      </c>
      <c r="BN74">
        <v>19</v>
      </c>
      <c r="BO74">
        <v>64.75</v>
      </c>
      <c r="BP74">
        <f t="shared" si="34"/>
        <v>4</v>
      </c>
      <c r="BQ74">
        <f t="shared" si="35"/>
        <v>0.3079245627163415</v>
      </c>
      <c r="BR74" t="e" cm="1">
        <f t="array" ref="BR74">_xlfn.IFS(BQ74&gt;0.9,0,BQ74&lt;0.01,0)</f>
        <v>#N/A</v>
      </c>
      <c r="CA74">
        <v>19</v>
      </c>
      <c r="CB74">
        <v>93.25</v>
      </c>
      <c r="CC74">
        <f t="shared" si="36"/>
        <v>-4.25</v>
      </c>
      <c r="CD74">
        <f t="shared" si="37"/>
        <v>1.0097706712556316</v>
      </c>
      <c r="CE74" cm="1">
        <f t="array" ref="CE74">_xlfn.IFS(CD74&gt;0.9,0,CD74&lt;0.01,0)</f>
        <v>0</v>
      </c>
      <c r="CN74">
        <v>19</v>
      </c>
      <c r="CO74">
        <v>93.75</v>
      </c>
      <c r="CP74">
        <f t="shared" si="38"/>
        <v>5</v>
      </c>
      <c r="CQ74">
        <f t="shared" si="39"/>
        <v>2.8848665331672557E-2</v>
      </c>
      <c r="CR74" t="e" cm="1">
        <f t="array" ref="CR74">_xlfn.IFS(CQ74&gt;0.9,0,CQ74&lt;0.01,0)</f>
        <v>#N/A</v>
      </c>
      <c r="DA74">
        <v>19</v>
      </c>
      <c r="DB74">
        <v>78.25</v>
      </c>
      <c r="DC74">
        <f t="shared" si="40"/>
        <v>4.25</v>
      </c>
      <c r="DD74">
        <f t="shared" si="41"/>
        <v>0.22150643939728293</v>
      </c>
      <c r="DE74" t="e" cm="1">
        <f t="array" ref="DE74">_xlfn.IFS(DD74&gt;0.9,0,DD74&lt;0.01,0)</f>
        <v>#N/A</v>
      </c>
      <c r="DN74">
        <v>19</v>
      </c>
      <c r="DO74">
        <v>99</v>
      </c>
      <c r="DP74">
        <f t="shared" si="42"/>
        <v>5.75</v>
      </c>
      <c r="DQ74">
        <f t="shared" si="43"/>
        <v>8.5549015949119116E-3</v>
      </c>
      <c r="DR74" cm="1">
        <f t="array" ref="DR74">_xlfn.IFS(DQ74&gt;0.9,0,DQ74&lt;0.01,0)</f>
        <v>0</v>
      </c>
    </row>
    <row r="75" spans="1:122" x14ac:dyDescent="0.4">
      <c r="A75">
        <v>19.25</v>
      </c>
      <c r="B75">
        <v>99.75</v>
      </c>
      <c r="C75">
        <f t="shared" si="24"/>
        <v>7.0500000000000007</v>
      </c>
      <c r="D75">
        <f t="shared" si="25"/>
        <v>9.0722813777418534E-4</v>
      </c>
      <c r="E75" cm="1">
        <f t="array" ref="E75">_xlfn.IFS(D75&gt;0.9,0,D75&lt;0.01,0)</f>
        <v>0</v>
      </c>
      <c r="N75">
        <v>19.25</v>
      </c>
      <c r="O75">
        <f t="shared" si="23"/>
        <v>102</v>
      </c>
      <c r="P75">
        <f t="shared" si="26"/>
        <v>-2.75</v>
      </c>
      <c r="Q75">
        <f t="shared" si="27"/>
        <v>1.0003224742570267</v>
      </c>
      <c r="R75" cm="1">
        <f t="array" ref="R75">_xlfn.IFS(Q75&gt;0.9,0,Q75&lt;0.01,0)</f>
        <v>0</v>
      </c>
      <c r="AA75">
        <v>18.25</v>
      </c>
      <c r="AB75">
        <v>22.75</v>
      </c>
      <c r="AC75">
        <f t="shared" si="28"/>
        <v>5.25</v>
      </c>
      <c r="AD75">
        <f t="shared" si="29"/>
        <v>0.17266083553918748</v>
      </c>
      <c r="AE75" t="e" cm="1">
        <f t="array" ref="AE75">_xlfn.IFS(AD75&gt;0.9,0,AD75&lt;0.01,0)</f>
        <v>#N/A</v>
      </c>
      <c r="AN75">
        <v>19.25</v>
      </c>
      <c r="AO75">
        <v>31.25</v>
      </c>
      <c r="AP75">
        <f t="shared" si="30"/>
        <v>9.75</v>
      </c>
      <c r="AQ75">
        <f t="shared" si="31"/>
        <v>5.7309157416361063E-2</v>
      </c>
      <c r="AR75" t="e" cm="1">
        <f t="array" ref="AR75">_xlfn.IFS(AQ75&gt;0.9,0,AQ75&lt;0.01,0)</f>
        <v>#N/A</v>
      </c>
      <c r="BA75">
        <v>19.25</v>
      </c>
      <c r="BB75">
        <v>67.75</v>
      </c>
      <c r="BC75">
        <f t="shared" si="32"/>
        <v>1.5</v>
      </c>
      <c r="BD75">
        <f t="shared" si="33"/>
        <v>0.65448910369208479</v>
      </c>
      <c r="BE75" t="e" cm="1">
        <f t="array" ref="BE75">_xlfn.IFS(BD75&gt;0.9,0,BD75&lt;0.01,0)</f>
        <v>#N/A</v>
      </c>
      <c r="BN75">
        <v>19.25</v>
      </c>
      <c r="BO75">
        <v>66.75</v>
      </c>
      <c r="BP75">
        <f t="shared" si="34"/>
        <v>4.25</v>
      </c>
      <c r="BQ75">
        <f t="shared" si="35"/>
        <v>0.28412180510759361</v>
      </c>
      <c r="BR75" t="e" cm="1">
        <f t="array" ref="BR75">_xlfn.IFS(BQ75&gt;0.9,0,BQ75&lt;0.01,0)</f>
        <v>#N/A</v>
      </c>
      <c r="CA75">
        <v>19.25</v>
      </c>
      <c r="CB75">
        <v>93</v>
      </c>
      <c r="CC75">
        <f t="shared" si="36"/>
        <v>-4</v>
      </c>
      <c r="CD75">
        <f t="shared" si="37"/>
        <v>1.0067926241948397</v>
      </c>
      <c r="CE75" cm="1">
        <f t="array" ref="CE75">_xlfn.IFS(CD75&gt;0.9,0,CD75&lt;0.01,0)</f>
        <v>0</v>
      </c>
      <c r="CN75">
        <v>19.25</v>
      </c>
      <c r="CO75">
        <v>94</v>
      </c>
      <c r="CP75">
        <f t="shared" si="38"/>
        <v>5.25</v>
      </c>
      <c r="CQ75">
        <f t="shared" si="39"/>
        <v>2.6066144396134291E-2</v>
      </c>
      <c r="CR75" t="e" cm="1">
        <f t="array" ref="CR75">_xlfn.IFS(CQ75&gt;0.9,0,CQ75&lt;0.01,0)</f>
        <v>#N/A</v>
      </c>
      <c r="DA75">
        <v>19.25</v>
      </c>
      <c r="DB75">
        <v>80</v>
      </c>
      <c r="DC75">
        <f t="shared" si="40"/>
        <v>4.5</v>
      </c>
      <c r="DD75">
        <f t="shared" si="41"/>
        <v>0.20182015588725971</v>
      </c>
      <c r="DE75" t="e" cm="1">
        <f t="array" ref="DE75">_xlfn.IFS(DD75&gt;0.9,0,DD75&lt;0.01,0)</f>
        <v>#N/A</v>
      </c>
      <c r="DN75">
        <v>19.25</v>
      </c>
      <c r="DO75">
        <v>99</v>
      </c>
      <c r="DP75">
        <f t="shared" si="42"/>
        <v>6</v>
      </c>
      <c r="DQ75">
        <f t="shared" si="43"/>
        <v>8.5549015949119116E-3</v>
      </c>
      <c r="DR75" cm="1">
        <f t="array" ref="DR75">_xlfn.IFS(DQ75&gt;0.9,0,DQ75&lt;0.01,0)</f>
        <v>0</v>
      </c>
    </row>
    <row r="76" spans="1:122" x14ac:dyDescent="0.4">
      <c r="A76">
        <v>19.5</v>
      </c>
      <c r="B76">
        <v>100</v>
      </c>
      <c r="C76">
        <f t="shared" si="24"/>
        <v>7.3000000000000007</v>
      </c>
      <c r="D76">
        <f t="shared" si="25"/>
        <v>-1.7189585768350943E-3</v>
      </c>
      <c r="E76" cm="1">
        <f t="array" ref="E76">_xlfn.IFS(D76&gt;0.9,0,D76&lt;0.01,0)</f>
        <v>0</v>
      </c>
      <c r="N76">
        <v>19.5</v>
      </c>
      <c r="O76">
        <f t="shared" si="23"/>
        <v>101.75</v>
      </c>
      <c r="P76">
        <f t="shared" si="26"/>
        <v>-2.5</v>
      </c>
      <c r="Q76">
        <f t="shared" si="27"/>
        <v>0.99767818534940822</v>
      </c>
      <c r="R76" cm="1">
        <f t="array" ref="R76">_xlfn.IFS(Q76&gt;0.9,0,Q76&lt;0.01,0)</f>
        <v>0</v>
      </c>
      <c r="AA76">
        <v>18.5</v>
      </c>
      <c r="AB76">
        <v>23</v>
      </c>
      <c r="AC76">
        <f t="shared" si="28"/>
        <v>5.5</v>
      </c>
      <c r="AD76">
        <f t="shared" si="29"/>
        <v>0.15945448267924964</v>
      </c>
      <c r="AE76" t="e" cm="1">
        <f t="array" ref="AE76">_xlfn.IFS(AD76&gt;0.9,0,AD76&lt;0.01,0)</f>
        <v>#N/A</v>
      </c>
      <c r="AN76">
        <v>19.5</v>
      </c>
      <c r="AO76">
        <v>31</v>
      </c>
      <c r="AP76">
        <f t="shared" si="30"/>
        <v>10</v>
      </c>
      <c r="AQ76">
        <f t="shared" si="31"/>
        <v>5.3957112359932391E-2</v>
      </c>
      <c r="AR76" t="e" cm="1">
        <f t="array" ref="AR76">_xlfn.IFS(AQ76&gt;0.9,0,AQ76&lt;0.01,0)</f>
        <v>#N/A</v>
      </c>
      <c r="BA76">
        <v>19.5</v>
      </c>
      <c r="BB76">
        <v>63</v>
      </c>
      <c r="BC76">
        <f t="shared" si="32"/>
        <v>1.75</v>
      </c>
      <c r="BD76">
        <f t="shared" si="33"/>
        <v>0.60337459094057799</v>
      </c>
      <c r="BE76" t="e" cm="1">
        <f t="array" ref="BE76">_xlfn.IFS(BD76&gt;0.9,0,BD76&lt;0.01,0)</f>
        <v>#N/A</v>
      </c>
      <c r="BN76">
        <v>19.5</v>
      </c>
      <c r="BO76">
        <v>68.25</v>
      </c>
      <c r="BP76">
        <f t="shared" si="34"/>
        <v>4.5</v>
      </c>
      <c r="BQ76">
        <f t="shared" si="35"/>
        <v>0.26626973690103273</v>
      </c>
      <c r="BR76" t="e" cm="1">
        <f t="array" ref="BR76">_xlfn.IFS(BQ76&gt;0.9,0,BQ76&lt;0.01,0)</f>
        <v>#N/A</v>
      </c>
      <c r="CA76">
        <v>19.5</v>
      </c>
      <c r="CB76">
        <v>93.25</v>
      </c>
      <c r="CC76">
        <f t="shared" si="36"/>
        <v>-3.75</v>
      </c>
      <c r="CD76">
        <f t="shared" si="37"/>
        <v>1.0097706712556316</v>
      </c>
      <c r="CE76" cm="1">
        <f t="array" ref="CE76">_xlfn.IFS(CD76&gt;0.9,0,CD76&lt;0.01,0)</f>
        <v>0</v>
      </c>
      <c r="CN76">
        <v>19.5</v>
      </c>
      <c r="CO76">
        <v>94.5</v>
      </c>
      <c r="CP76">
        <f t="shared" si="38"/>
        <v>5.5</v>
      </c>
      <c r="CQ76">
        <f t="shared" si="39"/>
        <v>2.0501102525057761E-2</v>
      </c>
      <c r="CR76" t="e" cm="1">
        <f t="array" ref="CR76">_xlfn.IFS(CQ76&gt;0.9,0,CQ76&lt;0.01,0)</f>
        <v>#N/A</v>
      </c>
      <c r="DA76">
        <v>19.5</v>
      </c>
      <c r="DB76">
        <v>81.25</v>
      </c>
      <c r="DC76">
        <f t="shared" si="40"/>
        <v>4.75</v>
      </c>
      <c r="DD76">
        <f t="shared" si="41"/>
        <v>0.1877585248086717</v>
      </c>
      <c r="DE76" t="e" cm="1">
        <f t="array" ref="DE76">_xlfn.IFS(DD76&gt;0.9,0,DD76&lt;0.01,0)</f>
        <v>#N/A</v>
      </c>
      <c r="DN76">
        <v>19.5</v>
      </c>
      <c r="DO76">
        <v>99</v>
      </c>
      <c r="DP76">
        <f t="shared" si="42"/>
        <v>6.25</v>
      </c>
      <c r="DQ76">
        <f t="shared" si="43"/>
        <v>8.5549015949119116E-3</v>
      </c>
      <c r="DR76" cm="1">
        <f t="array" ref="DR76">_xlfn.IFS(DQ76&gt;0.9,0,DQ76&lt;0.01,0)</f>
        <v>0</v>
      </c>
    </row>
    <row r="77" spans="1:122" x14ac:dyDescent="0.4">
      <c r="A77">
        <v>19.75</v>
      </c>
      <c r="B77">
        <v>100.25</v>
      </c>
      <c r="C77">
        <f t="shared" si="24"/>
        <v>7.5500000000000007</v>
      </c>
      <c r="D77">
        <f t="shared" si="25"/>
        <v>-4.3451452914443738E-3</v>
      </c>
      <c r="E77" cm="1">
        <f t="array" ref="E77">_xlfn.IFS(D77&gt;0.9,0,D77&lt;0.01,0)</f>
        <v>0</v>
      </c>
      <c r="N77">
        <v>19.75</v>
      </c>
      <c r="O77">
        <f t="shared" si="23"/>
        <v>101.75</v>
      </c>
      <c r="P77">
        <f t="shared" si="26"/>
        <v>-2.25</v>
      </c>
      <c r="Q77">
        <f t="shared" si="27"/>
        <v>0.99767818534940822</v>
      </c>
      <c r="R77" cm="1">
        <f t="array" ref="R77">_xlfn.IFS(Q77&gt;0.9,0,Q77&lt;0.01,0)</f>
        <v>0</v>
      </c>
      <c r="AA77">
        <v>18.75</v>
      </c>
      <c r="AB77">
        <v>23.25</v>
      </c>
      <c r="AC77">
        <f t="shared" si="28"/>
        <v>5.75</v>
      </c>
      <c r="AD77">
        <f t="shared" si="29"/>
        <v>0.14624812981931179</v>
      </c>
      <c r="AE77" t="e" cm="1">
        <f t="array" ref="AE77">_xlfn.IFS(AD77&gt;0.9,0,AD77&lt;0.01,0)</f>
        <v>#N/A</v>
      </c>
      <c r="AN77">
        <v>19.75</v>
      </c>
      <c r="AO77">
        <v>30.75</v>
      </c>
      <c r="AP77">
        <f t="shared" si="30"/>
        <v>10.25</v>
      </c>
      <c r="AQ77">
        <f t="shared" si="31"/>
        <v>5.0605067303503726E-2</v>
      </c>
      <c r="AR77" t="e" cm="1">
        <f t="array" ref="AR77">_xlfn.IFS(AQ77&gt;0.9,0,AQ77&lt;0.01,0)</f>
        <v>#N/A</v>
      </c>
      <c r="BA77">
        <v>19.75</v>
      </c>
      <c r="BB77">
        <v>59</v>
      </c>
      <c r="BC77">
        <f t="shared" si="32"/>
        <v>2</v>
      </c>
      <c r="BD77">
        <f t="shared" si="33"/>
        <v>0.56033079072878267</v>
      </c>
      <c r="BE77" t="e" cm="1">
        <f t="array" ref="BE77">_xlfn.IFS(BD77&gt;0.9,0,BD77&lt;0.01,0)</f>
        <v>#N/A</v>
      </c>
      <c r="BN77">
        <v>19.75</v>
      </c>
      <c r="BO77">
        <v>69.5</v>
      </c>
      <c r="BP77">
        <f t="shared" si="34"/>
        <v>4.75</v>
      </c>
      <c r="BQ77">
        <f t="shared" si="35"/>
        <v>0.2513930133955653</v>
      </c>
      <c r="BR77" t="e" cm="1">
        <f t="array" ref="BR77">_xlfn.IFS(BQ77&gt;0.9,0,BQ77&lt;0.01,0)</f>
        <v>#N/A</v>
      </c>
      <c r="CA77">
        <v>19.75</v>
      </c>
      <c r="CB77">
        <v>93.25</v>
      </c>
      <c r="CC77">
        <f t="shared" si="36"/>
        <v>-3.5</v>
      </c>
      <c r="CD77">
        <f t="shared" si="37"/>
        <v>1.0097706712556316</v>
      </c>
      <c r="CE77" cm="1">
        <f t="array" ref="CE77">_xlfn.IFS(CD77&gt;0.9,0,CD77&lt;0.01,0)</f>
        <v>0</v>
      </c>
      <c r="CN77">
        <v>19.75</v>
      </c>
      <c r="CO77">
        <v>94.75</v>
      </c>
      <c r="CP77">
        <f t="shared" si="38"/>
        <v>5.75</v>
      </c>
      <c r="CQ77">
        <f t="shared" si="39"/>
        <v>1.7718581589519496E-2</v>
      </c>
      <c r="CR77" t="e" cm="1">
        <f t="array" ref="CR77">_xlfn.IFS(CQ77&gt;0.9,0,CQ77&lt;0.01,0)</f>
        <v>#N/A</v>
      </c>
      <c r="DA77">
        <v>19.75</v>
      </c>
      <c r="DB77">
        <v>82.25</v>
      </c>
      <c r="DC77">
        <f t="shared" si="40"/>
        <v>5</v>
      </c>
      <c r="DD77">
        <f t="shared" si="41"/>
        <v>0.17650921994580129</v>
      </c>
      <c r="DE77" t="e" cm="1">
        <f t="array" ref="DE77">_xlfn.IFS(DD77&gt;0.9,0,DD77&lt;0.01,0)</f>
        <v>#N/A</v>
      </c>
      <c r="DN77">
        <v>19.75</v>
      </c>
      <c r="DO77">
        <v>99</v>
      </c>
      <c r="DP77">
        <f t="shared" si="42"/>
        <v>6.5</v>
      </c>
      <c r="DQ77">
        <f t="shared" si="43"/>
        <v>8.5549015949119116E-3</v>
      </c>
      <c r="DR77" cm="1">
        <f t="array" ref="DR77">_xlfn.IFS(DQ77&gt;0.9,0,DQ77&lt;0.01,0)</f>
        <v>0</v>
      </c>
    </row>
    <row r="78" spans="1:122" x14ac:dyDescent="0.4">
      <c r="A78">
        <v>20</v>
      </c>
      <c r="B78">
        <v>100.25</v>
      </c>
      <c r="C78">
        <f t="shared" si="24"/>
        <v>7.8000000000000007</v>
      </c>
      <c r="D78">
        <f t="shared" si="25"/>
        <v>-4.3451452914443738E-3</v>
      </c>
      <c r="E78" cm="1">
        <f t="array" ref="E78">_xlfn.IFS(D78&gt;0.9,0,D78&lt;0.01,0)</f>
        <v>0</v>
      </c>
      <c r="N78">
        <v>20</v>
      </c>
      <c r="O78">
        <f t="shared" si="23"/>
        <v>101.75</v>
      </c>
      <c r="P78">
        <f t="shared" si="26"/>
        <v>-2</v>
      </c>
      <c r="Q78">
        <f t="shared" si="27"/>
        <v>0.99767818534940822</v>
      </c>
      <c r="R78" cm="1">
        <f t="array" ref="R78">_xlfn.IFS(Q78&gt;0.9,0,Q78&lt;0.01,0)</f>
        <v>0</v>
      </c>
      <c r="AA78">
        <v>19</v>
      </c>
      <c r="AB78">
        <v>23.25</v>
      </c>
      <c r="AC78">
        <f t="shared" si="28"/>
        <v>6</v>
      </c>
      <c r="AD78">
        <f t="shared" si="29"/>
        <v>0.14624812981931179</v>
      </c>
      <c r="AE78" t="e" cm="1">
        <f t="array" ref="AE78">_xlfn.IFS(AD78&gt;0.9,0,AD78&lt;0.01,0)</f>
        <v>#N/A</v>
      </c>
      <c r="AN78">
        <v>20</v>
      </c>
      <c r="AO78">
        <v>30.5</v>
      </c>
      <c r="AP78">
        <f t="shared" si="30"/>
        <v>10.5</v>
      </c>
      <c r="AQ78">
        <f t="shared" si="31"/>
        <v>4.725302224707506E-2</v>
      </c>
      <c r="AR78" t="e" cm="1">
        <f t="array" ref="AR78">_xlfn.IFS(AQ78&gt;0.9,0,AQ78&lt;0.01,0)</f>
        <v>#N/A</v>
      </c>
      <c r="BA78">
        <v>20</v>
      </c>
      <c r="BB78">
        <v>54.25</v>
      </c>
      <c r="BC78">
        <f t="shared" si="32"/>
        <v>2.25</v>
      </c>
      <c r="BD78">
        <f t="shared" si="33"/>
        <v>0.50921627797727587</v>
      </c>
      <c r="BE78" t="e" cm="1">
        <f t="array" ref="BE78">_xlfn.IFS(BD78&gt;0.9,0,BD78&lt;0.01,0)</f>
        <v>#N/A</v>
      </c>
      <c r="BN78">
        <v>20</v>
      </c>
      <c r="BO78">
        <v>71</v>
      </c>
      <c r="BP78">
        <f t="shared" si="34"/>
        <v>5</v>
      </c>
      <c r="BQ78">
        <f t="shared" si="35"/>
        <v>0.2335409451890044</v>
      </c>
      <c r="BR78" t="e" cm="1">
        <f t="array" ref="BR78">_xlfn.IFS(BQ78&gt;0.9,0,BQ78&lt;0.01,0)</f>
        <v>#N/A</v>
      </c>
      <c r="CA78">
        <v>20</v>
      </c>
      <c r="CB78">
        <v>93.25</v>
      </c>
      <c r="CC78">
        <f t="shared" si="36"/>
        <v>-3.25</v>
      </c>
      <c r="CD78">
        <f t="shared" si="37"/>
        <v>1.0097706712556316</v>
      </c>
      <c r="CE78" cm="1">
        <f t="array" ref="CE78">_xlfn.IFS(CD78&gt;0.9,0,CD78&lt;0.01,0)</f>
        <v>0</v>
      </c>
      <c r="CN78">
        <v>20</v>
      </c>
      <c r="CO78">
        <v>94.75</v>
      </c>
      <c r="CP78">
        <f t="shared" si="38"/>
        <v>6</v>
      </c>
      <c r="CQ78">
        <f t="shared" si="39"/>
        <v>1.7718581589519496E-2</v>
      </c>
      <c r="CR78" t="e" cm="1">
        <f t="array" ref="CR78">_xlfn.IFS(CQ78&gt;0.9,0,CQ78&lt;0.01,0)</f>
        <v>#N/A</v>
      </c>
      <c r="DA78">
        <v>20</v>
      </c>
      <c r="DB78">
        <v>83.75</v>
      </c>
      <c r="DC78">
        <f t="shared" si="40"/>
        <v>5.25</v>
      </c>
      <c r="DD78">
        <f t="shared" si="41"/>
        <v>0.15963526265149569</v>
      </c>
      <c r="DE78" t="e" cm="1">
        <f t="array" ref="DE78">_xlfn.IFS(DD78&gt;0.9,0,DD78&lt;0.01,0)</f>
        <v>#N/A</v>
      </c>
      <c r="DN78">
        <v>20</v>
      </c>
      <c r="DO78">
        <v>99</v>
      </c>
      <c r="DP78">
        <f t="shared" si="42"/>
        <v>6.75</v>
      </c>
      <c r="DQ78">
        <f t="shared" si="43"/>
        <v>8.5549015949119116E-3</v>
      </c>
      <c r="DR78" cm="1">
        <f t="array" ref="DR78">_xlfn.IFS(DQ78&gt;0.9,0,DQ78&lt;0.01,0)</f>
        <v>0</v>
      </c>
    </row>
    <row r="79" spans="1:122" x14ac:dyDescent="0.4">
      <c r="A79">
        <v>20.25</v>
      </c>
      <c r="B79">
        <v>100.25</v>
      </c>
      <c r="C79">
        <f t="shared" si="24"/>
        <v>8.0500000000000007</v>
      </c>
      <c r="D79">
        <f t="shared" si="25"/>
        <v>-4.3451452914443738E-3</v>
      </c>
      <c r="E79" cm="1">
        <f t="array" ref="E79">_xlfn.IFS(D79&gt;0.9,0,D79&lt;0.01,0)</f>
        <v>0</v>
      </c>
      <c r="N79">
        <v>20.25</v>
      </c>
      <c r="O79">
        <f t="shared" si="23"/>
        <v>101.75</v>
      </c>
      <c r="P79">
        <f t="shared" si="26"/>
        <v>-1.75</v>
      </c>
      <c r="Q79">
        <f t="shared" si="27"/>
        <v>0.99767818534940822</v>
      </c>
      <c r="R79" cm="1">
        <f t="array" ref="R79">_xlfn.IFS(Q79&gt;0.9,0,Q79&lt;0.01,0)</f>
        <v>0</v>
      </c>
      <c r="AA79">
        <v>19.25</v>
      </c>
      <c r="AB79">
        <v>23.5</v>
      </c>
      <c r="AC79">
        <f t="shared" si="28"/>
        <v>6.25</v>
      </c>
      <c r="AD79">
        <f t="shared" si="29"/>
        <v>0.13304177695937394</v>
      </c>
      <c r="AE79" t="e" cm="1">
        <f t="array" ref="AE79">_xlfn.IFS(AD79&gt;0.9,0,AD79&lt;0.01,0)</f>
        <v>#N/A</v>
      </c>
      <c r="AN79">
        <v>20.25</v>
      </c>
      <c r="AO79">
        <v>30.5</v>
      </c>
      <c r="AP79">
        <f t="shared" si="30"/>
        <v>10.75</v>
      </c>
      <c r="AQ79">
        <f t="shared" si="31"/>
        <v>4.725302224707506E-2</v>
      </c>
      <c r="AR79" t="e" cm="1">
        <f t="array" ref="AR79">_xlfn.IFS(AQ79&gt;0.9,0,AQ79&lt;0.01,0)</f>
        <v>#N/A</v>
      </c>
      <c r="BA79">
        <v>20.25</v>
      </c>
      <c r="BB79">
        <v>51.25</v>
      </c>
      <c r="BC79">
        <f t="shared" si="32"/>
        <v>2.5</v>
      </c>
      <c r="BD79">
        <f t="shared" si="33"/>
        <v>0.4769334278184294</v>
      </c>
      <c r="BE79" t="e" cm="1">
        <f t="array" ref="BE79">_xlfn.IFS(BD79&gt;0.9,0,BD79&lt;0.01,0)</f>
        <v>#N/A</v>
      </c>
      <c r="BN79">
        <v>20.25</v>
      </c>
      <c r="BO79">
        <v>72.25</v>
      </c>
      <c r="BP79">
        <f t="shared" si="34"/>
        <v>5.25</v>
      </c>
      <c r="BQ79">
        <f t="shared" si="35"/>
        <v>0.218664221683537</v>
      </c>
      <c r="BR79" t="e" cm="1">
        <f t="array" ref="BR79">_xlfn.IFS(BQ79&gt;0.9,0,BQ79&lt;0.01,0)</f>
        <v>#N/A</v>
      </c>
      <c r="CA79">
        <v>20.25</v>
      </c>
      <c r="CB79">
        <v>93.25</v>
      </c>
      <c r="CC79">
        <f t="shared" si="36"/>
        <v>-3</v>
      </c>
      <c r="CD79">
        <f t="shared" si="37"/>
        <v>1.0097706712556316</v>
      </c>
      <c r="CE79" cm="1">
        <f t="array" ref="CE79">_xlfn.IFS(CD79&gt;0.9,0,CD79&lt;0.01,0)</f>
        <v>0</v>
      </c>
      <c r="CN79">
        <v>20.25</v>
      </c>
      <c r="CO79">
        <v>94.75</v>
      </c>
      <c r="CP79">
        <f t="shared" si="38"/>
        <v>6.25</v>
      </c>
      <c r="CQ79">
        <f t="shared" si="39"/>
        <v>1.7718581589519496E-2</v>
      </c>
      <c r="CR79" t="e" cm="1">
        <f t="array" ref="CR79">_xlfn.IFS(CQ79&gt;0.9,0,CQ79&lt;0.01,0)</f>
        <v>#N/A</v>
      </c>
      <c r="DA79">
        <v>20.25</v>
      </c>
      <c r="DB79">
        <v>84.5</v>
      </c>
      <c r="DC79">
        <f t="shared" si="40"/>
        <v>5.5</v>
      </c>
      <c r="DD79">
        <f t="shared" si="41"/>
        <v>0.15119828400434288</v>
      </c>
      <c r="DE79" t="e" cm="1">
        <f t="array" ref="DE79">_xlfn.IFS(DD79&gt;0.9,0,DD79&lt;0.01,0)</f>
        <v>#N/A</v>
      </c>
      <c r="DN79">
        <v>20.25</v>
      </c>
      <c r="DO79">
        <v>99</v>
      </c>
      <c r="DP79">
        <f t="shared" si="42"/>
        <v>7</v>
      </c>
      <c r="DQ79">
        <f t="shared" si="43"/>
        <v>8.5549015949119116E-3</v>
      </c>
      <c r="DR79" cm="1">
        <f t="array" ref="DR79">_xlfn.IFS(DQ79&gt;0.9,0,DQ79&lt;0.01,0)</f>
        <v>0</v>
      </c>
    </row>
    <row r="80" spans="1:122" x14ac:dyDescent="0.4">
      <c r="A80">
        <v>20.5</v>
      </c>
      <c r="B80">
        <v>100.25</v>
      </c>
      <c r="C80">
        <f t="shared" si="24"/>
        <v>8.3000000000000007</v>
      </c>
      <c r="D80">
        <f t="shared" si="25"/>
        <v>-4.3451452914443738E-3</v>
      </c>
      <c r="E80" cm="1">
        <f t="array" ref="E80">_xlfn.IFS(D80&gt;0.9,0,D80&lt;0.01,0)</f>
        <v>0</v>
      </c>
      <c r="N80">
        <v>20.5</v>
      </c>
      <c r="O80">
        <f t="shared" si="23"/>
        <v>101.75</v>
      </c>
      <c r="P80">
        <f t="shared" si="26"/>
        <v>-1.5</v>
      </c>
      <c r="Q80">
        <f t="shared" si="27"/>
        <v>0.99767818534940822</v>
      </c>
      <c r="R80" cm="1">
        <f t="array" ref="R80">_xlfn.IFS(Q80&gt;0.9,0,Q80&lt;0.01,0)</f>
        <v>0</v>
      </c>
      <c r="AA80">
        <v>19.5</v>
      </c>
      <c r="AB80">
        <v>23.75</v>
      </c>
      <c r="AC80">
        <f t="shared" si="28"/>
        <v>6.5</v>
      </c>
      <c r="AD80">
        <f t="shared" si="29"/>
        <v>0.11983542409943608</v>
      </c>
      <c r="AE80" t="e" cm="1">
        <f t="array" ref="AE80">_xlfn.IFS(AD80&gt;0.9,0,AD80&lt;0.01,0)</f>
        <v>#N/A</v>
      </c>
      <c r="AN80">
        <v>20.5</v>
      </c>
      <c r="AO80">
        <v>30.25</v>
      </c>
      <c r="AP80">
        <f t="shared" si="30"/>
        <v>11</v>
      </c>
      <c r="AQ80">
        <f t="shared" si="31"/>
        <v>4.3900977190646395E-2</v>
      </c>
      <c r="AR80" t="e" cm="1">
        <f t="array" ref="AR80">_xlfn.IFS(AQ80&gt;0.9,0,AQ80&lt;0.01,0)</f>
        <v>#N/A</v>
      </c>
      <c r="BA80">
        <v>20.5</v>
      </c>
      <c r="BB80">
        <v>48.5</v>
      </c>
      <c r="BC80">
        <f t="shared" si="32"/>
        <v>2.75</v>
      </c>
      <c r="BD80">
        <f t="shared" si="33"/>
        <v>0.44734081517282021</v>
      </c>
      <c r="BE80" t="e" cm="1">
        <f t="array" ref="BE80">_xlfn.IFS(BD80&gt;0.9,0,BD80&lt;0.01,0)</f>
        <v>#N/A</v>
      </c>
      <c r="BN80">
        <v>20.5</v>
      </c>
      <c r="BO80">
        <v>73.25</v>
      </c>
      <c r="BP80">
        <f t="shared" si="34"/>
        <v>5.5</v>
      </c>
      <c r="BQ80">
        <f t="shared" si="35"/>
        <v>0.20676284287916305</v>
      </c>
      <c r="BR80" t="e" cm="1">
        <f t="array" ref="BR80">_xlfn.IFS(BQ80&gt;0.9,0,BQ80&lt;0.01,0)</f>
        <v>#N/A</v>
      </c>
      <c r="CA80">
        <v>20.5</v>
      </c>
      <c r="CB80">
        <v>93</v>
      </c>
      <c r="CC80">
        <f t="shared" si="36"/>
        <v>-2.75</v>
      </c>
      <c r="CD80">
        <f t="shared" si="37"/>
        <v>1.0067926241948397</v>
      </c>
      <c r="CE80" cm="1">
        <f t="array" ref="CE80">_xlfn.IFS(CD80&gt;0.9,0,CD80&lt;0.01,0)</f>
        <v>0</v>
      </c>
      <c r="CN80">
        <v>20.5</v>
      </c>
      <c r="CO80">
        <v>94.75</v>
      </c>
      <c r="CP80">
        <f t="shared" si="38"/>
        <v>6.5</v>
      </c>
      <c r="CQ80">
        <f t="shared" si="39"/>
        <v>1.7718581589519496E-2</v>
      </c>
      <c r="CR80" t="e" cm="1">
        <f t="array" ref="CR80">_xlfn.IFS(CQ80&gt;0.9,0,CQ80&lt;0.01,0)</f>
        <v>#N/A</v>
      </c>
      <c r="DA80">
        <v>20.5</v>
      </c>
      <c r="DB80">
        <v>85.5</v>
      </c>
      <c r="DC80">
        <f t="shared" si="40"/>
        <v>5.75</v>
      </c>
      <c r="DD80">
        <f t="shared" si="41"/>
        <v>0.13994897914147247</v>
      </c>
      <c r="DE80" t="e" cm="1">
        <f t="array" ref="DE80">_xlfn.IFS(DD80&gt;0.9,0,DD80&lt;0.01,0)</f>
        <v>#N/A</v>
      </c>
      <c r="DN80">
        <v>20.5</v>
      </c>
      <c r="DO80">
        <v>99</v>
      </c>
      <c r="DP80">
        <f t="shared" si="42"/>
        <v>7.25</v>
      </c>
      <c r="DQ80">
        <f t="shared" si="43"/>
        <v>8.5549015949119116E-3</v>
      </c>
      <c r="DR80" cm="1">
        <f t="array" ref="DR80">_xlfn.IFS(DQ80&gt;0.9,0,DQ80&lt;0.01,0)</f>
        <v>0</v>
      </c>
    </row>
    <row r="81" spans="1:122" x14ac:dyDescent="0.4">
      <c r="A81">
        <v>20.75</v>
      </c>
      <c r="B81">
        <v>100.5</v>
      </c>
      <c r="C81">
        <f t="shared" si="24"/>
        <v>8.5500000000000007</v>
      </c>
      <c r="D81">
        <f t="shared" si="25"/>
        <v>-6.9713320060536535E-3</v>
      </c>
      <c r="E81" cm="1">
        <f t="array" ref="E81">_xlfn.IFS(D81&gt;0.9,0,D81&lt;0.01,0)</f>
        <v>0</v>
      </c>
      <c r="N81">
        <v>20.75</v>
      </c>
      <c r="O81">
        <f t="shared" si="23"/>
        <v>101.75</v>
      </c>
      <c r="P81">
        <f t="shared" si="26"/>
        <v>-1.25</v>
      </c>
      <c r="Q81">
        <f t="shared" si="27"/>
        <v>0.99767818534940822</v>
      </c>
      <c r="R81" cm="1">
        <f t="array" ref="R81">_xlfn.IFS(Q81&gt;0.9,0,Q81&lt;0.01,0)</f>
        <v>0</v>
      </c>
      <c r="AA81">
        <v>19.75</v>
      </c>
      <c r="AB81">
        <v>23.75</v>
      </c>
      <c r="AC81">
        <f t="shared" si="28"/>
        <v>6.75</v>
      </c>
      <c r="AD81">
        <f t="shared" si="29"/>
        <v>0.11983542409943608</v>
      </c>
      <c r="AE81" t="e" cm="1">
        <f t="array" ref="AE81">_xlfn.IFS(AD81&gt;0.9,0,AD81&lt;0.01,0)</f>
        <v>#N/A</v>
      </c>
      <c r="AN81">
        <v>20.75</v>
      </c>
      <c r="AO81">
        <v>30.25</v>
      </c>
      <c r="AP81">
        <f t="shared" si="30"/>
        <v>11.25</v>
      </c>
      <c r="AQ81">
        <f t="shared" si="31"/>
        <v>4.3900977190646395E-2</v>
      </c>
      <c r="AR81" t="e" cm="1">
        <f t="array" ref="AR81">_xlfn.IFS(AQ81&gt;0.9,0,AQ81&lt;0.01,0)</f>
        <v>#N/A</v>
      </c>
      <c r="BA81">
        <v>20.75</v>
      </c>
      <c r="BB81">
        <v>45.25</v>
      </c>
      <c r="BC81">
        <f t="shared" si="32"/>
        <v>3</v>
      </c>
      <c r="BD81">
        <f t="shared" si="33"/>
        <v>0.41236772750073653</v>
      </c>
      <c r="BE81" t="e" cm="1">
        <f t="array" ref="BE81">_xlfn.IFS(BD81&gt;0.9,0,BD81&lt;0.01,0)</f>
        <v>#N/A</v>
      </c>
      <c r="BN81">
        <v>20.75</v>
      </c>
      <c r="BO81">
        <v>74.5</v>
      </c>
      <c r="BP81">
        <f t="shared" si="34"/>
        <v>5.75</v>
      </c>
      <c r="BQ81">
        <f t="shared" si="35"/>
        <v>0.19188611937369562</v>
      </c>
      <c r="BR81" t="e" cm="1">
        <f t="array" ref="BR81">_xlfn.IFS(BQ81&gt;0.9,0,BQ81&lt;0.01,0)</f>
        <v>#N/A</v>
      </c>
      <c r="CA81">
        <v>20.75</v>
      </c>
      <c r="CB81">
        <v>93</v>
      </c>
      <c r="CC81">
        <f t="shared" si="36"/>
        <v>-2.5</v>
      </c>
      <c r="CD81">
        <f t="shared" si="37"/>
        <v>1.0067926241948397</v>
      </c>
      <c r="CE81" cm="1">
        <f t="array" ref="CE81">_xlfn.IFS(CD81&gt;0.9,0,CD81&lt;0.01,0)</f>
        <v>0</v>
      </c>
      <c r="CN81">
        <v>20.75</v>
      </c>
      <c r="CO81">
        <v>95</v>
      </c>
      <c r="CP81">
        <f t="shared" si="38"/>
        <v>6.75</v>
      </c>
      <c r="CQ81">
        <f t="shared" si="39"/>
        <v>1.4936060653981231E-2</v>
      </c>
      <c r="CR81" t="e" cm="1">
        <f t="array" ref="CR81">_xlfn.IFS(CQ81&gt;0.9,0,CQ81&lt;0.01,0)</f>
        <v>#N/A</v>
      </c>
      <c r="DA81">
        <v>20.75</v>
      </c>
      <c r="DB81">
        <v>86.5</v>
      </c>
      <c r="DC81">
        <f t="shared" si="40"/>
        <v>6</v>
      </c>
      <c r="DD81">
        <f t="shared" si="41"/>
        <v>0.12869967427860207</v>
      </c>
      <c r="DE81" t="e" cm="1">
        <f t="array" ref="DE81">_xlfn.IFS(DD81&gt;0.9,0,DD81&lt;0.01,0)</f>
        <v>#N/A</v>
      </c>
      <c r="DN81">
        <v>20.75</v>
      </c>
      <c r="DO81">
        <v>99</v>
      </c>
      <c r="DP81">
        <f t="shared" si="42"/>
        <v>7.5</v>
      </c>
      <c r="DQ81">
        <f t="shared" si="43"/>
        <v>8.5549015949119116E-3</v>
      </c>
      <c r="DR81" cm="1">
        <f t="array" ref="DR81">_xlfn.IFS(DQ81&gt;0.9,0,DQ81&lt;0.01,0)</f>
        <v>0</v>
      </c>
    </row>
    <row r="82" spans="1:122" x14ac:dyDescent="0.4">
      <c r="A82">
        <v>21</v>
      </c>
      <c r="B82">
        <v>100.5</v>
      </c>
      <c r="C82">
        <f t="shared" si="24"/>
        <v>8.8000000000000007</v>
      </c>
      <c r="D82">
        <f t="shared" si="25"/>
        <v>-6.9713320060536535E-3</v>
      </c>
      <c r="E82" cm="1">
        <f t="array" ref="E82">_xlfn.IFS(D82&gt;0.9,0,D82&lt;0.01,0)</f>
        <v>0</v>
      </c>
      <c r="N82">
        <v>21</v>
      </c>
      <c r="O82">
        <f t="shared" si="23"/>
        <v>101.75</v>
      </c>
      <c r="P82">
        <f t="shared" si="26"/>
        <v>-1</v>
      </c>
      <c r="Q82">
        <f t="shared" si="27"/>
        <v>0.99767818534940822</v>
      </c>
      <c r="R82" cm="1">
        <f t="array" ref="R82">_xlfn.IFS(Q82&gt;0.9,0,Q82&lt;0.01,0)</f>
        <v>0</v>
      </c>
      <c r="AA82">
        <v>20</v>
      </c>
      <c r="AB82">
        <v>23.75</v>
      </c>
      <c r="AC82">
        <f t="shared" si="28"/>
        <v>7</v>
      </c>
      <c r="AD82">
        <f t="shared" si="29"/>
        <v>0.11983542409943608</v>
      </c>
      <c r="AE82" t="e" cm="1">
        <f t="array" ref="AE82">_xlfn.IFS(AD82&gt;0.9,0,AD82&lt;0.01,0)</f>
        <v>#N/A</v>
      </c>
      <c r="AN82">
        <v>21</v>
      </c>
      <c r="AO82">
        <v>30</v>
      </c>
      <c r="AP82">
        <f t="shared" si="30"/>
        <v>11.5</v>
      </c>
      <c r="AQ82">
        <f t="shared" si="31"/>
        <v>4.054893213421773E-2</v>
      </c>
      <c r="AR82" t="e" cm="1">
        <f t="array" ref="AR82">_xlfn.IFS(AQ82&gt;0.9,0,AQ82&lt;0.01,0)</f>
        <v>#N/A</v>
      </c>
      <c r="BA82">
        <v>21</v>
      </c>
      <c r="BB82">
        <v>43</v>
      </c>
      <c r="BC82">
        <f t="shared" si="32"/>
        <v>3.25</v>
      </c>
      <c r="BD82">
        <f t="shared" si="33"/>
        <v>0.3881555898816017</v>
      </c>
      <c r="BE82" t="e" cm="1">
        <f t="array" ref="BE82">_xlfn.IFS(BD82&gt;0.9,0,BD82&lt;0.01,0)</f>
        <v>#N/A</v>
      </c>
      <c r="BN82">
        <v>21</v>
      </c>
      <c r="BO82">
        <v>75.5</v>
      </c>
      <c r="BP82">
        <f t="shared" si="34"/>
        <v>6</v>
      </c>
      <c r="BQ82">
        <f t="shared" si="35"/>
        <v>0.17998474056932171</v>
      </c>
      <c r="BR82" t="e" cm="1">
        <f t="array" ref="BR82">_xlfn.IFS(BQ82&gt;0.9,0,BQ82&lt;0.01,0)</f>
        <v>#N/A</v>
      </c>
      <c r="CA82">
        <v>21</v>
      </c>
      <c r="CB82">
        <v>93</v>
      </c>
      <c r="CC82">
        <f t="shared" si="36"/>
        <v>-2.25</v>
      </c>
      <c r="CD82">
        <f t="shared" si="37"/>
        <v>1.0067926241948397</v>
      </c>
      <c r="CE82" cm="1">
        <f t="array" ref="CE82">_xlfn.IFS(CD82&gt;0.9,0,CD82&lt;0.01,0)</f>
        <v>0</v>
      </c>
      <c r="CN82">
        <v>21</v>
      </c>
      <c r="CO82">
        <v>95.25</v>
      </c>
      <c r="CP82">
        <f t="shared" si="38"/>
        <v>7</v>
      </c>
      <c r="CQ82">
        <f t="shared" si="39"/>
        <v>1.2153539718442966E-2</v>
      </c>
      <c r="CR82" t="e" cm="1">
        <f t="array" ref="CR82">_xlfn.IFS(CQ82&gt;0.9,0,CQ82&lt;0.01,0)</f>
        <v>#N/A</v>
      </c>
      <c r="DA82">
        <v>21</v>
      </c>
      <c r="DB82">
        <v>87</v>
      </c>
      <c r="DC82">
        <f t="shared" si="40"/>
        <v>6.25</v>
      </c>
      <c r="DD82">
        <f t="shared" si="41"/>
        <v>0.12307502184716686</v>
      </c>
      <c r="DE82" t="e" cm="1">
        <f t="array" ref="DE82">_xlfn.IFS(DD82&gt;0.9,0,DD82&lt;0.01,0)</f>
        <v>#N/A</v>
      </c>
      <c r="DN82">
        <v>21</v>
      </c>
      <c r="DO82">
        <v>99.25</v>
      </c>
      <c r="DP82">
        <f t="shared" si="42"/>
        <v>7.75</v>
      </c>
      <c r="DQ82">
        <f t="shared" si="43"/>
        <v>5.8982962937192849E-3</v>
      </c>
      <c r="DR82" cm="1">
        <f t="array" ref="DR82">_xlfn.IFS(DQ82&gt;0.9,0,DQ82&lt;0.01,0)</f>
        <v>0</v>
      </c>
    </row>
    <row r="83" spans="1:122" x14ac:dyDescent="0.4">
      <c r="A83">
        <v>21.25</v>
      </c>
      <c r="B83">
        <v>100.5</v>
      </c>
      <c r="C83">
        <f t="shared" si="24"/>
        <v>9.0500000000000007</v>
      </c>
      <c r="D83">
        <f t="shared" si="25"/>
        <v>-6.9713320060536535E-3</v>
      </c>
      <c r="E83" cm="1">
        <f t="array" ref="E83">_xlfn.IFS(D83&gt;0.9,0,D83&lt;0.01,0)</f>
        <v>0</v>
      </c>
      <c r="N83">
        <v>21.25</v>
      </c>
      <c r="O83">
        <f t="shared" si="23"/>
        <v>101.75</v>
      </c>
      <c r="P83">
        <f t="shared" si="26"/>
        <v>-0.75</v>
      </c>
      <c r="Q83">
        <f t="shared" si="27"/>
        <v>0.99767818534940822</v>
      </c>
      <c r="R83" cm="1">
        <f t="array" ref="R83">_xlfn.IFS(Q83&gt;0.9,0,Q83&lt;0.01,0)</f>
        <v>0</v>
      </c>
      <c r="AA83">
        <v>20.25</v>
      </c>
      <c r="AB83">
        <v>24</v>
      </c>
      <c r="AC83">
        <f t="shared" si="28"/>
        <v>7.25</v>
      </c>
      <c r="AD83">
        <f t="shared" si="29"/>
        <v>0.10662907123949823</v>
      </c>
      <c r="AE83" t="e" cm="1">
        <f t="array" ref="AE83">_xlfn.IFS(AD83&gt;0.9,0,AD83&lt;0.01,0)</f>
        <v>#N/A</v>
      </c>
      <c r="AN83">
        <v>21.25</v>
      </c>
      <c r="AO83">
        <v>30</v>
      </c>
      <c r="AP83">
        <f t="shared" si="30"/>
        <v>11.75</v>
      </c>
      <c r="AQ83">
        <f t="shared" si="31"/>
        <v>4.054893213421773E-2</v>
      </c>
      <c r="AR83" t="e" cm="1">
        <f t="array" ref="AR83">_xlfn.IFS(AQ83&gt;0.9,0,AQ83&lt;0.01,0)</f>
        <v>#N/A</v>
      </c>
      <c r="BA83">
        <v>21.25</v>
      </c>
      <c r="BB83">
        <v>40.5</v>
      </c>
      <c r="BC83">
        <f t="shared" si="32"/>
        <v>3.5</v>
      </c>
      <c r="BD83">
        <f t="shared" si="33"/>
        <v>0.36125321474922972</v>
      </c>
      <c r="BE83" t="e" cm="1">
        <f t="array" ref="BE83">_xlfn.IFS(BD83&gt;0.9,0,BD83&lt;0.01,0)</f>
        <v>#N/A</v>
      </c>
      <c r="BN83">
        <v>21.25</v>
      </c>
      <c r="BO83">
        <v>76.5</v>
      </c>
      <c r="BP83">
        <f t="shared" si="34"/>
        <v>6.25</v>
      </c>
      <c r="BQ83">
        <f t="shared" si="35"/>
        <v>0.16808336176494776</v>
      </c>
      <c r="BR83" t="e" cm="1">
        <f t="array" ref="BR83">_xlfn.IFS(BQ83&gt;0.9,0,BQ83&lt;0.01,0)</f>
        <v>#N/A</v>
      </c>
      <c r="CA83">
        <v>21.25</v>
      </c>
      <c r="CB83">
        <v>93</v>
      </c>
      <c r="CC83">
        <f t="shared" si="36"/>
        <v>-2</v>
      </c>
      <c r="CD83">
        <f t="shared" si="37"/>
        <v>1.0067926241948397</v>
      </c>
      <c r="CE83" cm="1">
        <f t="array" ref="CE83">_xlfn.IFS(CD83&gt;0.9,0,CD83&lt;0.01,0)</f>
        <v>0</v>
      </c>
      <c r="CN83">
        <v>21.25</v>
      </c>
      <c r="CO83">
        <v>95.5</v>
      </c>
      <c r="CP83">
        <f t="shared" si="38"/>
        <v>7.25</v>
      </c>
      <c r="CQ83">
        <f t="shared" si="39"/>
        <v>9.3710187829047012E-3</v>
      </c>
      <c r="CR83" cm="1">
        <f t="array" ref="CR83">_xlfn.IFS(CQ83&gt;0.9,0,CQ83&lt;0.01,0)</f>
        <v>0</v>
      </c>
      <c r="DA83">
        <v>21.25</v>
      </c>
      <c r="DB83">
        <v>88</v>
      </c>
      <c r="DC83">
        <f t="shared" si="40"/>
        <v>6.5</v>
      </c>
      <c r="DD83">
        <f t="shared" si="41"/>
        <v>0.11182571698429646</v>
      </c>
      <c r="DE83" t="e" cm="1">
        <f t="array" ref="DE83">_xlfn.IFS(DD83&gt;0.9,0,DD83&lt;0.01,0)</f>
        <v>#N/A</v>
      </c>
      <c r="DN83">
        <v>21.25</v>
      </c>
      <c r="DO83">
        <v>99</v>
      </c>
      <c r="DP83">
        <f t="shared" si="42"/>
        <v>8</v>
      </c>
      <c r="DQ83">
        <f t="shared" si="43"/>
        <v>8.5549015949119116E-3</v>
      </c>
      <c r="DR83" cm="1">
        <f t="array" ref="DR83">_xlfn.IFS(DQ83&gt;0.9,0,DQ83&lt;0.01,0)</f>
        <v>0</v>
      </c>
    </row>
    <row r="84" spans="1:122" x14ac:dyDescent="0.4">
      <c r="A84">
        <v>21.5</v>
      </c>
      <c r="B84">
        <v>100.25</v>
      </c>
      <c r="C84">
        <f t="shared" si="24"/>
        <v>9.3000000000000007</v>
      </c>
      <c r="D84">
        <f t="shared" si="25"/>
        <v>-4.3451452914443738E-3</v>
      </c>
      <c r="E84" cm="1">
        <f t="array" ref="E84">_xlfn.IFS(D84&gt;0.9,0,D84&lt;0.01,0)</f>
        <v>0</v>
      </c>
      <c r="N84">
        <v>21.5</v>
      </c>
      <c r="O84">
        <f t="shared" si="23"/>
        <v>101.5</v>
      </c>
      <c r="P84">
        <f t="shared" si="26"/>
        <v>-0.5</v>
      </c>
      <c r="Q84">
        <f t="shared" si="27"/>
        <v>0.99503389644178974</v>
      </c>
      <c r="R84" cm="1">
        <f t="array" ref="R84">_xlfn.IFS(Q84&gt;0.9,0,Q84&lt;0.01,0)</f>
        <v>0</v>
      </c>
      <c r="AA84">
        <v>20.5</v>
      </c>
      <c r="AB84">
        <v>24</v>
      </c>
      <c r="AC84">
        <f t="shared" si="28"/>
        <v>7.5</v>
      </c>
      <c r="AD84">
        <f t="shared" si="29"/>
        <v>0.10662907123949823</v>
      </c>
      <c r="AE84" t="e" cm="1">
        <f t="array" ref="AE84">_xlfn.IFS(AD84&gt;0.9,0,AD84&lt;0.01,0)</f>
        <v>#N/A</v>
      </c>
      <c r="AN84">
        <v>21.5</v>
      </c>
      <c r="AO84">
        <v>29.75</v>
      </c>
      <c r="AP84">
        <f t="shared" si="30"/>
        <v>12</v>
      </c>
      <c r="AQ84">
        <f t="shared" si="31"/>
        <v>3.7196887077789065E-2</v>
      </c>
      <c r="AR84" t="e" cm="1">
        <f t="array" ref="AR84">_xlfn.IFS(AQ84&gt;0.9,0,AQ84&lt;0.01,0)</f>
        <v>#N/A</v>
      </c>
      <c r="BA84">
        <v>21.5</v>
      </c>
      <c r="BB84">
        <v>38.5</v>
      </c>
      <c r="BC84">
        <f t="shared" si="32"/>
        <v>3.75</v>
      </c>
      <c r="BD84">
        <f t="shared" si="33"/>
        <v>0.33973131464333206</v>
      </c>
      <c r="BE84" t="e" cm="1">
        <f t="array" ref="BE84">_xlfn.IFS(BD84&gt;0.9,0,BD84&lt;0.01,0)</f>
        <v>#N/A</v>
      </c>
      <c r="BN84">
        <v>21.5</v>
      </c>
      <c r="BO84">
        <v>77.25</v>
      </c>
      <c r="BP84">
        <f t="shared" si="34"/>
        <v>6.5</v>
      </c>
      <c r="BQ84">
        <f t="shared" si="35"/>
        <v>0.15915732766166732</v>
      </c>
      <c r="BR84" t="e" cm="1">
        <f t="array" ref="BR84">_xlfn.IFS(BQ84&gt;0.9,0,BQ84&lt;0.01,0)</f>
        <v>#N/A</v>
      </c>
      <c r="CA84">
        <v>21.5</v>
      </c>
      <c r="CB84">
        <v>93</v>
      </c>
      <c r="CC84">
        <f t="shared" si="36"/>
        <v>-1.75</v>
      </c>
      <c r="CD84">
        <f t="shared" si="37"/>
        <v>1.0067926241948397</v>
      </c>
      <c r="CE84" cm="1">
        <f t="array" ref="CE84">_xlfn.IFS(CD84&gt;0.9,0,CD84&lt;0.01,0)</f>
        <v>0</v>
      </c>
      <c r="CN84">
        <v>21.5</v>
      </c>
      <c r="CO84">
        <v>95.25</v>
      </c>
      <c r="CP84">
        <f t="shared" si="38"/>
        <v>7.5</v>
      </c>
      <c r="CQ84">
        <f t="shared" si="39"/>
        <v>1.2153539718442966E-2</v>
      </c>
      <c r="CR84" t="e" cm="1">
        <f t="array" ref="CR84">_xlfn.IFS(CQ84&gt;0.9,0,CQ84&lt;0.01,0)</f>
        <v>#N/A</v>
      </c>
      <c r="DA84">
        <v>21.5</v>
      </c>
      <c r="DB84">
        <v>88.5</v>
      </c>
      <c r="DC84">
        <f t="shared" si="40"/>
        <v>6.75</v>
      </c>
      <c r="DD84">
        <f t="shared" si="41"/>
        <v>0.10620106455286124</v>
      </c>
      <c r="DE84" t="e" cm="1">
        <f t="array" ref="DE84">_xlfn.IFS(DD84&gt;0.9,0,DD84&lt;0.01,0)</f>
        <v>#N/A</v>
      </c>
      <c r="DN84">
        <v>21.5</v>
      </c>
      <c r="DO84">
        <v>99.25</v>
      </c>
      <c r="DP84">
        <f t="shared" si="42"/>
        <v>8.25</v>
      </c>
      <c r="DQ84">
        <f t="shared" si="43"/>
        <v>5.8982962937192849E-3</v>
      </c>
      <c r="DR84" cm="1">
        <f t="array" ref="DR84">_xlfn.IFS(DQ84&gt;0.9,0,DQ84&lt;0.01,0)</f>
        <v>0</v>
      </c>
    </row>
    <row r="85" spans="1:122" x14ac:dyDescent="0.4">
      <c r="A85">
        <v>21.75</v>
      </c>
      <c r="B85">
        <v>100.25</v>
      </c>
      <c r="C85">
        <f t="shared" si="24"/>
        <v>9.5500000000000007</v>
      </c>
      <c r="D85">
        <f t="shared" si="25"/>
        <v>-4.3451452914443738E-3</v>
      </c>
      <c r="E85" cm="1">
        <f t="array" ref="E85">_xlfn.IFS(D85&gt;0.9,0,D85&lt;0.01,0)</f>
        <v>0</v>
      </c>
      <c r="N85">
        <v>21.75</v>
      </c>
      <c r="O85">
        <v>101.5</v>
      </c>
      <c r="P85">
        <f t="shared" si="26"/>
        <v>-0.25</v>
      </c>
      <c r="Q85">
        <f t="shared" si="27"/>
        <v>0.99503389644178974</v>
      </c>
      <c r="R85" cm="1">
        <f t="array" ref="R85">_xlfn.IFS(Q85&gt;0.9,0,Q85&lt;0.01,0)</f>
        <v>0</v>
      </c>
      <c r="AA85">
        <v>20.75</v>
      </c>
      <c r="AB85">
        <v>24</v>
      </c>
      <c r="AC85">
        <f t="shared" si="28"/>
        <v>7.75</v>
      </c>
      <c r="AD85">
        <f t="shared" si="29"/>
        <v>0.10662907123949823</v>
      </c>
      <c r="AE85" t="e" cm="1">
        <f t="array" ref="AE85">_xlfn.IFS(AD85&gt;0.9,0,AD85&lt;0.01,0)</f>
        <v>#N/A</v>
      </c>
      <c r="AN85">
        <v>21.75</v>
      </c>
      <c r="AO85">
        <v>29.75</v>
      </c>
      <c r="AP85">
        <f t="shared" si="30"/>
        <v>12.25</v>
      </c>
      <c r="AQ85">
        <f t="shared" si="31"/>
        <v>3.7196887077789065E-2</v>
      </c>
      <c r="AR85" t="e" cm="1">
        <f t="array" ref="AR85">_xlfn.IFS(AQ85&gt;0.9,0,AQ85&lt;0.01,0)</f>
        <v>#N/A</v>
      </c>
      <c r="BA85">
        <v>21.75</v>
      </c>
      <c r="BB85">
        <v>37</v>
      </c>
      <c r="BC85">
        <f t="shared" si="32"/>
        <v>4</v>
      </c>
      <c r="BD85">
        <f t="shared" si="33"/>
        <v>0.32358988956390883</v>
      </c>
      <c r="BE85" t="e" cm="1">
        <f t="array" ref="BE85">_xlfn.IFS(BD85&gt;0.9,0,BD85&lt;0.01,0)</f>
        <v>#N/A</v>
      </c>
      <c r="BN85">
        <v>21.75</v>
      </c>
      <c r="BO85">
        <v>78</v>
      </c>
      <c r="BP85">
        <f t="shared" si="34"/>
        <v>6.75</v>
      </c>
      <c r="BQ85">
        <f t="shared" si="35"/>
        <v>0.15023129355838685</v>
      </c>
      <c r="BR85" t="e" cm="1">
        <f t="array" ref="BR85">_xlfn.IFS(BQ85&gt;0.9,0,BQ85&lt;0.01,0)</f>
        <v>#N/A</v>
      </c>
      <c r="CA85">
        <v>21.75</v>
      </c>
      <c r="CB85">
        <v>93</v>
      </c>
      <c r="CC85">
        <f t="shared" si="36"/>
        <v>-1.5</v>
      </c>
      <c r="CD85">
        <f t="shared" si="37"/>
        <v>1.0067926241948397</v>
      </c>
      <c r="CE85" cm="1">
        <f t="array" ref="CE85">_xlfn.IFS(CD85&gt;0.9,0,CD85&lt;0.01,0)</f>
        <v>0</v>
      </c>
      <c r="CN85">
        <v>21.75</v>
      </c>
      <c r="CO85">
        <v>95.25</v>
      </c>
      <c r="CP85">
        <f t="shared" si="38"/>
        <v>7.75</v>
      </c>
      <c r="CQ85">
        <f t="shared" si="39"/>
        <v>1.2153539718442966E-2</v>
      </c>
      <c r="CR85" t="e" cm="1">
        <f t="array" ref="CR85">_xlfn.IFS(CQ85&gt;0.9,0,CQ85&lt;0.01,0)</f>
        <v>#N/A</v>
      </c>
      <c r="DA85">
        <v>21.75</v>
      </c>
      <c r="DB85">
        <v>89.25</v>
      </c>
      <c r="DC85">
        <f t="shared" si="40"/>
        <v>7</v>
      </c>
      <c r="DD85">
        <f t="shared" si="41"/>
        <v>9.7764085905708439E-2</v>
      </c>
      <c r="DE85" t="e" cm="1">
        <f t="array" ref="DE85">_xlfn.IFS(DD85&gt;0.9,0,DD85&lt;0.01,0)</f>
        <v>#N/A</v>
      </c>
      <c r="DN85">
        <v>21.75</v>
      </c>
      <c r="DO85">
        <v>99.25</v>
      </c>
      <c r="DP85">
        <f t="shared" si="42"/>
        <v>8.5</v>
      </c>
      <c r="DQ85">
        <f t="shared" si="43"/>
        <v>5.8982962937192849E-3</v>
      </c>
      <c r="DR85" cm="1">
        <f t="array" ref="DR85">_xlfn.IFS(DQ85&gt;0.9,0,DQ85&lt;0.01,0)</f>
        <v>0</v>
      </c>
    </row>
    <row r="86" spans="1:122" x14ac:dyDescent="0.4">
      <c r="A86">
        <v>22</v>
      </c>
      <c r="B86">
        <v>100.25</v>
      </c>
      <c r="C86">
        <f t="shared" si="24"/>
        <v>9.8000000000000007</v>
      </c>
      <c r="D86">
        <f t="shared" si="25"/>
        <v>-4.3451452914443738E-3</v>
      </c>
      <c r="E86" cm="1">
        <f t="array" ref="E86">_xlfn.IFS(D86&gt;0.9,0,D86&lt;0.01,0)</f>
        <v>0</v>
      </c>
      <c r="N86">
        <v>22</v>
      </c>
      <c r="O86">
        <v>100.5</v>
      </c>
      <c r="P86">
        <f t="shared" si="26"/>
        <v>0</v>
      </c>
      <c r="Q86">
        <f t="shared" si="27"/>
        <v>0.98445674081131596</v>
      </c>
      <c r="R86" cm="1">
        <f t="array" ref="R86">_xlfn.IFS(Q86&gt;0.9,0,Q86&lt;0.01,0)</f>
        <v>0</v>
      </c>
      <c r="AA86">
        <v>21</v>
      </c>
      <c r="AB86">
        <v>24.25</v>
      </c>
      <c r="AC86">
        <f t="shared" si="28"/>
        <v>8</v>
      </c>
      <c r="AD86">
        <f t="shared" si="29"/>
        <v>9.3422718379560385E-2</v>
      </c>
      <c r="AE86" t="e" cm="1">
        <f t="array" ref="AE86">_xlfn.IFS(AD86&gt;0.9,0,AD86&lt;0.01,0)</f>
        <v>#N/A</v>
      </c>
      <c r="AN86">
        <v>22</v>
      </c>
      <c r="AO86">
        <v>29.75</v>
      </c>
      <c r="AP86">
        <f t="shared" si="30"/>
        <v>12.5</v>
      </c>
      <c r="AQ86">
        <f t="shared" si="31"/>
        <v>3.7196887077789065E-2</v>
      </c>
      <c r="AR86" t="e" cm="1">
        <f t="array" ref="AR86">_xlfn.IFS(AQ86&gt;0.9,0,AQ86&lt;0.01,0)</f>
        <v>#N/A</v>
      </c>
      <c r="BA86">
        <v>22</v>
      </c>
      <c r="BB86">
        <v>35</v>
      </c>
      <c r="BC86">
        <f t="shared" si="32"/>
        <v>4.25</v>
      </c>
      <c r="BD86">
        <f t="shared" si="33"/>
        <v>0.30206798945801122</v>
      </c>
      <c r="BE86" t="e" cm="1">
        <f t="array" ref="BE86">_xlfn.IFS(BD86&gt;0.9,0,BD86&lt;0.01,0)</f>
        <v>#N/A</v>
      </c>
      <c r="BN86">
        <v>22</v>
      </c>
      <c r="BO86">
        <v>78.75</v>
      </c>
      <c r="BP86">
        <f t="shared" si="34"/>
        <v>7</v>
      </c>
      <c r="BQ86">
        <f t="shared" si="35"/>
        <v>0.14130525945510641</v>
      </c>
      <c r="BR86" t="e" cm="1">
        <f t="array" ref="BR86">_xlfn.IFS(BQ86&gt;0.9,0,BQ86&lt;0.01,0)</f>
        <v>#N/A</v>
      </c>
      <c r="CA86">
        <v>22</v>
      </c>
      <c r="CB86">
        <v>93</v>
      </c>
      <c r="CC86">
        <f t="shared" si="36"/>
        <v>-1.25</v>
      </c>
      <c r="CD86">
        <f t="shared" si="37"/>
        <v>1.0067926241948397</v>
      </c>
      <c r="CE86" cm="1">
        <f t="array" ref="CE86">_xlfn.IFS(CD86&gt;0.9,0,CD86&lt;0.01,0)</f>
        <v>0</v>
      </c>
      <c r="CN86">
        <v>22</v>
      </c>
      <c r="CO86">
        <v>95.25</v>
      </c>
      <c r="CP86">
        <f t="shared" si="38"/>
        <v>8</v>
      </c>
      <c r="CQ86">
        <f t="shared" si="39"/>
        <v>1.2153539718442966E-2</v>
      </c>
      <c r="CR86" t="e" cm="1">
        <f t="array" ref="CR86">_xlfn.IFS(CQ86&gt;0.9,0,CQ86&lt;0.01,0)</f>
        <v>#N/A</v>
      </c>
      <c r="DA86">
        <v>22</v>
      </c>
      <c r="DB86">
        <v>89.75</v>
      </c>
      <c r="DC86">
        <f t="shared" si="40"/>
        <v>7.25</v>
      </c>
      <c r="DD86">
        <f t="shared" si="41"/>
        <v>9.2139433474273238E-2</v>
      </c>
      <c r="DE86" t="e" cm="1">
        <f t="array" ref="DE86">_xlfn.IFS(DD86&gt;0.9,0,DD86&lt;0.01,0)</f>
        <v>#N/A</v>
      </c>
      <c r="DN86">
        <v>22</v>
      </c>
      <c r="DO86">
        <v>99.25</v>
      </c>
      <c r="DP86">
        <f t="shared" si="42"/>
        <v>8.75</v>
      </c>
      <c r="DQ86">
        <f t="shared" si="43"/>
        <v>5.8982962937192849E-3</v>
      </c>
      <c r="DR86" cm="1">
        <f t="array" ref="DR86">_xlfn.IFS(DQ86&gt;0.9,0,DQ86&lt;0.01,0)</f>
        <v>0</v>
      </c>
    </row>
    <row r="87" spans="1:122" x14ac:dyDescent="0.4">
      <c r="A87">
        <v>22.25</v>
      </c>
      <c r="B87">
        <v>100</v>
      </c>
      <c r="C87">
        <f t="shared" si="24"/>
        <v>10.050000000000001</v>
      </c>
      <c r="D87">
        <f t="shared" si="25"/>
        <v>-1.7189585768350943E-3</v>
      </c>
      <c r="E87" cm="1">
        <f t="array" ref="E87">_xlfn.IFS(D87&gt;0.9,0,D87&lt;0.01,0)</f>
        <v>0</v>
      </c>
      <c r="N87">
        <v>22.25</v>
      </c>
      <c r="O87">
        <v>98.25</v>
      </c>
      <c r="P87">
        <f t="shared" si="26"/>
        <v>0.25</v>
      </c>
      <c r="Q87">
        <f t="shared" si="27"/>
        <v>0.96065814064274979</v>
      </c>
      <c r="R87" cm="1">
        <f t="array" ref="R87">_xlfn.IFS(Q87&gt;0.9,0,Q87&lt;0.01,0)</f>
        <v>0</v>
      </c>
      <c r="AA87">
        <v>21.25</v>
      </c>
      <c r="AB87">
        <v>24.25</v>
      </c>
      <c r="AC87">
        <f t="shared" si="28"/>
        <v>8.25</v>
      </c>
      <c r="AD87">
        <f t="shared" si="29"/>
        <v>9.3422718379560385E-2</v>
      </c>
      <c r="AE87" t="e" cm="1">
        <f t="array" ref="AE87">_xlfn.IFS(AD87&gt;0.9,0,AD87&lt;0.01,0)</f>
        <v>#N/A</v>
      </c>
      <c r="AN87">
        <v>22.25</v>
      </c>
      <c r="AO87">
        <v>29.5</v>
      </c>
      <c r="AP87">
        <f t="shared" si="30"/>
        <v>12.75</v>
      </c>
      <c r="AQ87">
        <f t="shared" si="31"/>
        <v>3.38448420213604E-2</v>
      </c>
      <c r="AR87" t="e" cm="1">
        <f t="array" ref="AR87">_xlfn.IFS(AQ87&gt;0.9,0,AQ87&lt;0.01,0)</f>
        <v>#N/A</v>
      </c>
      <c r="BA87">
        <v>22.25</v>
      </c>
      <c r="BB87">
        <v>33.5</v>
      </c>
      <c r="BC87">
        <f t="shared" si="32"/>
        <v>4.5</v>
      </c>
      <c r="BD87">
        <f t="shared" si="33"/>
        <v>0.28592656437858799</v>
      </c>
      <c r="BE87" t="e" cm="1">
        <f t="array" ref="BE87">_xlfn.IFS(BD87&gt;0.9,0,BD87&lt;0.01,0)</f>
        <v>#N/A</v>
      </c>
      <c r="BN87">
        <v>22.25</v>
      </c>
      <c r="BO87">
        <v>79.25</v>
      </c>
      <c r="BP87">
        <f t="shared" si="34"/>
        <v>7.25</v>
      </c>
      <c r="BQ87">
        <f t="shared" si="35"/>
        <v>0.13535457005291945</v>
      </c>
      <c r="BR87" t="e" cm="1">
        <f t="array" ref="BR87">_xlfn.IFS(BQ87&gt;0.9,0,BQ87&lt;0.01,0)</f>
        <v>#N/A</v>
      </c>
      <c r="CA87">
        <v>22.25</v>
      </c>
      <c r="CB87">
        <v>93</v>
      </c>
      <c r="CC87">
        <f t="shared" si="36"/>
        <v>-1</v>
      </c>
      <c r="CD87">
        <f t="shared" si="37"/>
        <v>1.0067926241948397</v>
      </c>
      <c r="CE87" cm="1">
        <f t="array" ref="CE87">_xlfn.IFS(CD87&gt;0.9,0,CD87&lt;0.01,0)</f>
        <v>0</v>
      </c>
      <c r="CN87">
        <v>22.25</v>
      </c>
      <c r="CO87">
        <v>95.25</v>
      </c>
      <c r="CP87">
        <f t="shared" si="38"/>
        <v>8.25</v>
      </c>
      <c r="CQ87">
        <f t="shared" si="39"/>
        <v>1.2153539718442966E-2</v>
      </c>
      <c r="CR87" t="e" cm="1">
        <f t="array" ref="CR87">_xlfn.IFS(CQ87&gt;0.9,0,CQ87&lt;0.01,0)</f>
        <v>#N/A</v>
      </c>
      <c r="DA87">
        <v>22.25</v>
      </c>
      <c r="DB87">
        <v>90.25</v>
      </c>
      <c r="DC87">
        <f t="shared" si="40"/>
        <v>7.5</v>
      </c>
      <c r="DD87">
        <f t="shared" si="41"/>
        <v>8.6514781042838024E-2</v>
      </c>
      <c r="DE87" t="e" cm="1">
        <f t="array" ref="DE87">_xlfn.IFS(DD87&gt;0.9,0,DD87&lt;0.01,0)</f>
        <v>#N/A</v>
      </c>
      <c r="DN87">
        <v>22.25</v>
      </c>
      <c r="DO87">
        <v>99.25</v>
      </c>
      <c r="DP87">
        <f t="shared" si="42"/>
        <v>9</v>
      </c>
      <c r="DQ87">
        <f t="shared" si="43"/>
        <v>5.8982962937192849E-3</v>
      </c>
      <c r="DR87" cm="1">
        <f t="array" ref="DR87">_xlfn.IFS(DQ87&gt;0.9,0,DQ87&lt;0.01,0)</f>
        <v>0</v>
      </c>
    </row>
    <row r="88" spans="1:122" x14ac:dyDescent="0.4">
      <c r="A88">
        <v>22.5</v>
      </c>
      <c r="B88">
        <v>100</v>
      </c>
      <c r="C88">
        <f t="shared" si="24"/>
        <v>10.3</v>
      </c>
      <c r="D88">
        <f t="shared" si="25"/>
        <v>-1.7189585768350943E-3</v>
      </c>
      <c r="E88" cm="1">
        <f t="array" ref="E88">_xlfn.IFS(D88&gt;0.9,0,D88&lt;0.01,0)</f>
        <v>0</v>
      </c>
      <c r="N88">
        <v>22.5</v>
      </c>
      <c r="O88">
        <v>95.75</v>
      </c>
      <c r="P88">
        <f t="shared" si="26"/>
        <v>0.5</v>
      </c>
      <c r="Q88">
        <f t="shared" si="27"/>
        <v>0.93421525156656526</v>
      </c>
      <c r="R88" cm="1">
        <f t="array" ref="R88">_xlfn.IFS(Q88&gt;0.9,0,Q88&lt;0.01,0)</f>
        <v>0</v>
      </c>
      <c r="AA88">
        <v>21.5</v>
      </c>
      <c r="AB88">
        <v>24.25</v>
      </c>
      <c r="AC88">
        <f t="shared" si="28"/>
        <v>8.5</v>
      </c>
      <c r="AD88">
        <f t="shared" si="29"/>
        <v>9.3422718379560385E-2</v>
      </c>
      <c r="AE88" t="e" cm="1">
        <f t="array" ref="AE88">_xlfn.IFS(AD88&gt;0.9,0,AD88&lt;0.01,0)</f>
        <v>#N/A</v>
      </c>
      <c r="AN88">
        <v>22.5</v>
      </c>
      <c r="AO88">
        <v>29.5</v>
      </c>
      <c r="AP88">
        <f t="shared" si="30"/>
        <v>13</v>
      </c>
      <c r="AQ88">
        <f t="shared" si="31"/>
        <v>3.38448420213604E-2</v>
      </c>
      <c r="AR88" t="e" cm="1">
        <f t="array" ref="AR88">_xlfn.IFS(AQ88&gt;0.9,0,AQ88&lt;0.01,0)</f>
        <v>#N/A</v>
      </c>
      <c r="BA88">
        <v>22.5</v>
      </c>
      <c r="BB88">
        <v>32.25</v>
      </c>
      <c r="BC88">
        <f t="shared" si="32"/>
        <v>4.75</v>
      </c>
      <c r="BD88">
        <f t="shared" si="33"/>
        <v>0.27247537681240197</v>
      </c>
      <c r="BE88" t="e" cm="1">
        <f t="array" ref="BE88">_xlfn.IFS(BD88&gt;0.9,0,BD88&lt;0.01,0)</f>
        <v>#N/A</v>
      </c>
      <c r="BN88">
        <v>22.5</v>
      </c>
      <c r="BO88">
        <v>80</v>
      </c>
      <c r="BP88">
        <f t="shared" si="34"/>
        <v>7.5</v>
      </c>
      <c r="BQ88">
        <f t="shared" si="35"/>
        <v>0.12642853594963899</v>
      </c>
      <c r="BR88" t="e" cm="1">
        <f t="array" ref="BR88">_xlfn.IFS(BQ88&gt;0.9,0,BQ88&lt;0.01,0)</f>
        <v>#N/A</v>
      </c>
      <c r="CA88">
        <v>22.5</v>
      </c>
      <c r="CB88">
        <v>93</v>
      </c>
      <c r="CC88">
        <f t="shared" si="36"/>
        <v>-0.75</v>
      </c>
      <c r="CD88">
        <f t="shared" si="37"/>
        <v>1.0067926241948397</v>
      </c>
      <c r="CE88" cm="1">
        <f t="array" ref="CE88">_xlfn.IFS(CD88&gt;0.9,0,CD88&lt;0.01,0)</f>
        <v>0</v>
      </c>
      <c r="CN88">
        <v>22.5</v>
      </c>
      <c r="CO88">
        <v>95</v>
      </c>
      <c r="CP88">
        <f t="shared" si="38"/>
        <v>8.5</v>
      </c>
      <c r="CQ88">
        <f t="shared" si="39"/>
        <v>1.4936060653981231E-2</v>
      </c>
      <c r="CR88" t="e" cm="1">
        <f t="array" ref="CR88">_xlfn.IFS(CQ88&gt;0.9,0,CQ88&lt;0.01,0)</f>
        <v>#N/A</v>
      </c>
      <c r="DA88">
        <v>22.5</v>
      </c>
      <c r="DB88">
        <v>90.75</v>
      </c>
      <c r="DC88">
        <f t="shared" si="40"/>
        <v>7.75</v>
      </c>
      <c r="DD88">
        <f t="shared" si="41"/>
        <v>8.0890128611402823E-2</v>
      </c>
      <c r="DE88" t="e" cm="1">
        <f t="array" ref="DE88">_xlfn.IFS(DD88&gt;0.9,0,DD88&lt;0.01,0)</f>
        <v>#N/A</v>
      </c>
      <c r="DN88">
        <v>22.5</v>
      </c>
      <c r="DO88">
        <v>99.25</v>
      </c>
      <c r="DP88">
        <f t="shared" si="42"/>
        <v>9.25</v>
      </c>
      <c r="DQ88">
        <f t="shared" si="43"/>
        <v>5.8982962937192849E-3</v>
      </c>
      <c r="DR88" cm="1">
        <f t="array" ref="DR88">_xlfn.IFS(DQ88&gt;0.9,0,DQ88&lt;0.01,0)</f>
        <v>0</v>
      </c>
    </row>
    <row r="89" spans="1:122" x14ac:dyDescent="0.4">
      <c r="A89">
        <v>22.75</v>
      </c>
      <c r="B89">
        <v>100</v>
      </c>
      <c r="C89">
        <f t="shared" si="24"/>
        <v>10.55</v>
      </c>
      <c r="D89">
        <f t="shared" si="25"/>
        <v>-1.7189585768350943E-3</v>
      </c>
      <c r="E89" cm="1">
        <f t="array" ref="E89">_xlfn.IFS(D89&gt;0.9,0,D89&lt;0.01,0)</f>
        <v>0</v>
      </c>
      <c r="N89">
        <v>22.75</v>
      </c>
      <c r="O89">
        <v>88.5</v>
      </c>
      <c r="P89">
        <f t="shared" si="26"/>
        <v>0.75</v>
      </c>
      <c r="Q89">
        <f t="shared" si="27"/>
        <v>0.85753087324563015</v>
      </c>
      <c r="R89" t="e" cm="1">
        <f t="array" ref="R89">_xlfn.IFS(Q89&gt;0.9,0,Q89&lt;0.01,0)</f>
        <v>#N/A</v>
      </c>
      <c r="AA89">
        <v>21.75</v>
      </c>
      <c r="AB89">
        <v>24.5</v>
      </c>
      <c r="AC89">
        <f t="shared" si="28"/>
        <v>8.75</v>
      </c>
      <c r="AD89">
        <f t="shared" si="29"/>
        <v>8.0216365519622523E-2</v>
      </c>
      <c r="AE89" t="e" cm="1">
        <f t="array" ref="AE89">_xlfn.IFS(AD89&gt;0.9,0,AD89&lt;0.01,0)</f>
        <v>#N/A</v>
      </c>
      <c r="AN89">
        <v>22.75</v>
      </c>
      <c r="AO89">
        <v>29.25</v>
      </c>
      <c r="AP89">
        <f t="shared" si="30"/>
        <v>13.25</v>
      </c>
      <c r="AQ89">
        <f t="shared" si="31"/>
        <v>3.0492796964931731E-2</v>
      </c>
      <c r="AR89" t="e" cm="1">
        <f t="array" ref="AR89">_xlfn.IFS(AQ89&gt;0.9,0,AQ89&lt;0.01,0)</f>
        <v>#N/A</v>
      </c>
      <c r="BA89">
        <v>22.75</v>
      </c>
      <c r="BB89">
        <v>30.75</v>
      </c>
      <c r="BC89">
        <f t="shared" si="32"/>
        <v>5</v>
      </c>
      <c r="BD89">
        <f t="shared" si="33"/>
        <v>0.25633395173297874</v>
      </c>
      <c r="BE89" t="e" cm="1">
        <f t="array" ref="BE89">_xlfn.IFS(BD89&gt;0.9,0,BD89&lt;0.01,0)</f>
        <v>#N/A</v>
      </c>
      <c r="BN89">
        <v>22.75</v>
      </c>
      <c r="BO89">
        <v>80.75</v>
      </c>
      <c r="BP89">
        <f t="shared" si="34"/>
        <v>7.75</v>
      </c>
      <c r="BQ89">
        <f t="shared" si="35"/>
        <v>0.11750250184635853</v>
      </c>
      <c r="BR89" t="e" cm="1">
        <f t="array" ref="BR89">_xlfn.IFS(BQ89&gt;0.9,0,BQ89&lt;0.01,0)</f>
        <v>#N/A</v>
      </c>
      <c r="CA89">
        <v>22.75</v>
      </c>
      <c r="CB89">
        <v>93</v>
      </c>
      <c r="CC89">
        <f t="shared" si="36"/>
        <v>-0.5</v>
      </c>
      <c r="CD89">
        <f t="shared" si="37"/>
        <v>1.0067926241948397</v>
      </c>
      <c r="CE89" cm="1">
        <f t="array" ref="CE89">_xlfn.IFS(CD89&gt;0.9,0,CD89&lt;0.01,0)</f>
        <v>0</v>
      </c>
      <c r="CN89">
        <v>22.75</v>
      </c>
      <c r="CO89">
        <v>95.25</v>
      </c>
      <c r="CP89">
        <f t="shared" si="38"/>
        <v>8.75</v>
      </c>
      <c r="CQ89">
        <f t="shared" si="39"/>
        <v>1.2153539718442966E-2</v>
      </c>
      <c r="CR89" t="e" cm="1">
        <f t="array" ref="CR89">_xlfn.IFS(CQ89&gt;0.9,0,CQ89&lt;0.01,0)</f>
        <v>#N/A</v>
      </c>
      <c r="DA89">
        <v>22.75</v>
      </c>
      <c r="DB89">
        <v>91.25</v>
      </c>
      <c r="DC89">
        <f t="shared" si="40"/>
        <v>8</v>
      </c>
      <c r="DD89">
        <f t="shared" si="41"/>
        <v>7.5265476179967622E-2</v>
      </c>
      <c r="DE89" t="e" cm="1">
        <f t="array" ref="DE89">_xlfn.IFS(DD89&gt;0.9,0,DD89&lt;0.01,0)</f>
        <v>#N/A</v>
      </c>
      <c r="DN89">
        <v>22.75</v>
      </c>
      <c r="DO89">
        <v>99.25</v>
      </c>
      <c r="DP89">
        <f t="shared" si="42"/>
        <v>9.5</v>
      </c>
      <c r="DQ89">
        <f t="shared" si="43"/>
        <v>5.8982962937192849E-3</v>
      </c>
      <c r="DR89" cm="1">
        <f t="array" ref="DR89">_xlfn.IFS(DQ89&gt;0.9,0,DQ89&lt;0.01,0)</f>
        <v>0</v>
      </c>
    </row>
    <row r="90" spans="1:122" x14ac:dyDescent="0.4">
      <c r="A90">
        <v>23</v>
      </c>
      <c r="B90">
        <v>99.75</v>
      </c>
      <c r="C90">
        <f t="shared" si="24"/>
        <v>10.8</v>
      </c>
      <c r="D90">
        <f t="shared" si="25"/>
        <v>9.0722813777418534E-4</v>
      </c>
      <c r="E90" cm="1">
        <f t="array" ref="E90">_xlfn.IFS(D90&gt;0.9,0,D90&lt;0.01,0)</f>
        <v>0</v>
      </c>
      <c r="N90">
        <v>23</v>
      </c>
      <c r="O90">
        <v>74.25</v>
      </c>
      <c r="P90">
        <f t="shared" si="26"/>
        <v>1</v>
      </c>
      <c r="Q90">
        <f t="shared" si="27"/>
        <v>0.70680640551137819</v>
      </c>
      <c r="R90" t="e" cm="1">
        <f t="array" ref="R90">_xlfn.IFS(Q90&gt;0.9,0,Q90&lt;0.01,0)</f>
        <v>#N/A</v>
      </c>
      <c r="AA90">
        <v>22</v>
      </c>
      <c r="AB90">
        <v>24.5</v>
      </c>
      <c r="AC90">
        <f t="shared" si="28"/>
        <v>9</v>
      </c>
      <c r="AD90">
        <f t="shared" si="29"/>
        <v>8.0216365519622523E-2</v>
      </c>
      <c r="AE90" t="e" cm="1">
        <f t="array" ref="AE90">_xlfn.IFS(AD90&gt;0.9,0,AD90&lt;0.01,0)</f>
        <v>#N/A</v>
      </c>
      <c r="AN90">
        <v>23</v>
      </c>
      <c r="AO90">
        <v>29.25</v>
      </c>
      <c r="AP90">
        <f t="shared" si="30"/>
        <v>13.5</v>
      </c>
      <c r="AQ90">
        <f t="shared" si="31"/>
        <v>3.0492796964931731E-2</v>
      </c>
      <c r="AR90" t="e" cm="1">
        <f t="array" ref="AR90">_xlfn.IFS(AQ90&gt;0.9,0,AQ90&lt;0.01,0)</f>
        <v>#N/A</v>
      </c>
      <c r="BA90">
        <v>23</v>
      </c>
      <c r="BB90">
        <v>29.75</v>
      </c>
      <c r="BC90">
        <f t="shared" si="32"/>
        <v>5.25</v>
      </c>
      <c r="BD90">
        <f t="shared" si="33"/>
        <v>0.24557300168002993</v>
      </c>
      <c r="BE90" t="e" cm="1">
        <f t="array" ref="BE90">_xlfn.IFS(BD90&gt;0.9,0,BD90&lt;0.01,0)</f>
        <v>#N/A</v>
      </c>
      <c r="BN90">
        <v>23</v>
      </c>
      <c r="BO90">
        <v>81</v>
      </c>
      <c r="BP90">
        <f t="shared" si="34"/>
        <v>8</v>
      </c>
      <c r="BQ90">
        <f t="shared" si="35"/>
        <v>0.11452715714526505</v>
      </c>
      <c r="BR90" t="e" cm="1">
        <f t="array" ref="BR90">_xlfn.IFS(BQ90&gt;0.9,0,BQ90&lt;0.01,0)</f>
        <v>#N/A</v>
      </c>
      <c r="CA90">
        <v>23</v>
      </c>
      <c r="CB90">
        <v>93.25</v>
      </c>
      <c r="CC90">
        <f t="shared" si="36"/>
        <v>-0.25</v>
      </c>
      <c r="CD90">
        <f t="shared" si="37"/>
        <v>1.0097706712556316</v>
      </c>
      <c r="CE90" cm="1">
        <f t="array" ref="CE90">_xlfn.IFS(CD90&gt;0.9,0,CD90&lt;0.01,0)</f>
        <v>0</v>
      </c>
      <c r="CN90">
        <v>23</v>
      </c>
      <c r="CO90">
        <v>95</v>
      </c>
      <c r="CP90">
        <f t="shared" si="38"/>
        <v>9</v>
      </c>
      <c r="CQ90">
        <f t="shared" si="39"/>
        <v>1.4936060653981231E-2</v>
      </c>
      <c r="CR90" t="e" cm="1">
        <f t="array" ref="CR90">_xlfn.IFS(CQ90&gt;0.9,0,CQ90&lt;0.01,0)</f>
        <v>#N/A</v>
      </c>
      <c r="DA90">
        <v>23</v>
      </c>
      <c r="DB90">
        <v>91.5</v>
      </c>
      <c r="DC90">
        <f t="shared" si="40"/>
        <v>8.25</v>
      </c>
      <c r="DD90">
        <f t="shared" si="41"/>
        <v>7.2453149964250022E-2</v>
      </c>
      <c r="DE90" t="e" cm="1">
        <f t="array" ref="DE90">_xlfn.IFS(DD90&gt;0.9,0,DD90&lt;0.01,0)</f>
        <v>#N/A</v>
      </c>
      <c r="DN90">
        <v>23</v>
      </c>
      <c r="DO90">
        <v>99.25</v>
      </c>
      <c r="DP90">
        <f t="shared" si="42"/>
        <v>9.75</v>
      </c>
      <c r="DQ90">
        <f t="shared" si="43"/>
        <v>5.8982962937192849E-3</v>
      </c>
      <c r="DR90" cm="1">
        <f t="array" ref="DR90">_xlfn.IFS(DQ90&gt;0.9,0,DQ90&lt;0.01,0)</f>
        <v>0</v>
      </c>
    </row>
    <row r="91" spans="1:122" x14ac:dyDescent="0.4">
      <c r="A91">
        <v>23.25</v>
      </c>
      <c r="B91">
        <v>100</v>
      </c>
      <c r="C91">
        <f t="shared" si="24"/>
        <v>11.05</v>
      </c>
      <c r="D91">
        <f t="shared" si="25"/>
        <v>-1.7189585768350943E-3</v>
      </c>
      <c r="E91" cm="1">
        <f t="array" ref="E91">_xlfn.IFS(D91&gt;0.9,0,D91&lt;0.01,0)</f>
        <v>0</v>
      </c>
      <c r="N91">
        <v>23.25</v>
      </c>
      <c r="O91">
        <v>62</v>
      </c>
      <c r="P91">
        <f t="shared" si="26"/>
        <v>1.25</v>
      </c>
      <c r="Q91">
        <f t="shared" si="27"/>
        <v>0.57723624903807402</v>
      </c>
      <c r="R91" t="e" cm="1">
        <f t="array" ref="R91">_xlfn.IFS(Q91&gt;0.9,0,Q91&lt;0.01,0)</f>
        <v>#N/A</v>
      </c>
      <c r="AA91">
        <v>22.25</v>
      </c>
      <c r="AB91">
        <v>24.5</v>
      </c>
      <c r="AC91">
        <f t="shared" si="28"/>
        <v>9.25</v>
      </c>
      <c r="AD91">
        <f t="shared" si="29"/>
        <v>8.0216365519622523E-2</v>
      </c>
      <c r="AE91" t="e" cm="1">
        <f t="array" ref="AE91">_xlfn.IFS(AD91&gt;0.9,0,AD91&lt;0.01,0)</f>
        <v>#N/A</v>
      </c>
      <c r="AN91">
        <v>23.25</v>
      </c>
      <c r="AO91">
        <v>29.25</v>
      </c>
      <c r="AP91">
        <f t="shared" si="30"/>
        <v>13.75</v>
      </c>
      <c r="AQ91">
        <f t="shared" si="31"/>
        <v>3.0492796964931731E-2</v>
      </c>
      <c r="AR91" t="e" cm="1">
        <f t="array" ref="AR91">_xlfn.IFS(AQ91&gt;0.9,0,AQ91&lt;0.01,0)</f>
        <v>#N/A</v>
      </c>
      <c r="BA91">
        <v>23.25</v>
      </c>
      <c r="BB91">
        <v>28.75</v>
      </c>
      <c r="BC91">
        <f t="shared" si="32"/>
        <v>5.5</v>
      </c>
      <c r="BD91">
        <f t="shared" si="33"/>
        <v>0.23481205162708113</v>
      </c>
      <c r="BE91" t="e" cm="1">
        <f t="array" ref="BE91">_xlfn.IFS(BD91&gt;0.9,0,BD91&lt;0.01,0)</f>
        <v>#N/A</v>
      </c>
      <c r="BN91">
        <v>23.25</v>
      </c>
      <c r="BO91">
        <v>81.5</v>
      </c>
      <c r="BP91">
        <f t="shared" si="34"/>
        <v>8.25</v>
      </c>
      <c r="BQ91">
        <f t="shared" si="35"/>
        <v>0.10857646774307808</v>
      </c>
      <c r="BR91" t="e" cm="1">
        <f t="array" ref="BR91">_xlfn.IFS(BQ91&gt;0.9,0,BQ91&lt;0.01,0)</f>
        <v>#N/A</v>
      </c>
      <c r="CA91">
        <v>23.25</v>
      </c>
      <c r="CB91">
        <v>91.25</v>
      </c>
      <c r="CC91">
        <f t="shared" si="36"/>
        <v>0</v>
      </c>
      <c r="CD91">
        <f t="shared" si="37"/>
        <v>0.98594629476929696</v>
      </c>
      <c r="CE91" cm="1">
        <f t="array" ref="CE91">_xlfn.IFS(CD91&gt;0.9,0,CD91&lt;0.01,0)</f>
        <v>0</v>
      </c>
      <c r="CN91">
        <v>23.25</v>
      </c>
      <c r="CO91">
        <v>95</v>
      </c>
      <c r="CP91">
        <f t="shared" si="38"/>
        <v>9.25</v>
      </c>
      <c r="CQ91">
        <f t="shared" si="39"/>
        <v>1.4936060653981231E-2</v>
      </c>
      <c r="CR91" t="e" cm="1">
        <f t="array" ref="CR91">_xlfn.IFS(CQ91&gt;0.9,0,CQ91&lt;0.01,0)</f>
        <v>#N/A</v>
      </c>
      <c r="DA91">
        <v>23.25</v>
      </c>
      <c r="DB91">
        <v>91.75</v>
      </c>
      <c r="DC91">
        <f t="shared" si="40"/>
        <v>8.5</v>
      </c>
      <c r="DD91">
        <f t="shared" si="41"/>
        <v>6.9640823748532421E-2</v>
      </c>
      <c r="DE91" t="e" cm="1">
        <f t="array" ref="DE91">_xlfn.IFS(DD91&gt;0.9,0,DD91&lt;0.01,0)</f>
        <v>#N/A</v>
      </c>
      <c r="DN91">
        <v>23.25</v>
      </c>
      <c r="DO91">
        <v>99.25</v>
      </c>
      <c r="DP91">
        <f t="shared" si="42"/>
        <v>10</v>
      </c>
      <c r="DQ91">
        <f t="shared" si="43"/>
        <v>5.8982962937192849E-3</v>
      </c>
      <c r="DR91" cm="1">
        <f t="array" ref="DR91">_xlfn.IFS(DQ91&gt;0.9,0,DQ91&lt;0.01,0)</f>
        <v>0</v>
      </c>
    </row>
    <row r="92" spans="1:122" x14ac:dyDescent="0.4">
      <c r="A92">
        <v>23.5</v>
      </c>
      <c r="B92">
        <v>99.75</v>
      </c>
      <c r="C92">
        <f t="shared" si="24"/>
        <v>11.3</v>
      </c>
      <c r="D92">
        <f t="shared" si="25"/>
        <v>9.0722813777418534E-4</v>
      </c>
      <c r="E92" cm="1">
        <f t="array" ref="E92">_xlfn.IFS(D92&gt;0.9,0,D92&lt;0.01,0)</f>
        <v>0</v>
      </c>
      <c r="N92">
        <v>23.5</v>
      </c>
      <c r="O92">
        <v>49.5</v>
      </c>
      <c r="P92">
        <f t="shared" si="26"/>
        <v>1.5</v>
      </c>
      <c r="Q92">
        <f t="shared" si="27"/>
        <v>0.44502180365715127</v>
      </c>
      <c r="R92" t="e" cm="1">
        <f t="array" ref="R92">_xlfn.IFS(Q92&gt;0.9,0,Q92&lt;0.01,0)</f>
        <v>#N/A</v>
      </c>
      <c r="AA92">
        <v>22.5</v>
      </c>
      <c r="AB92">
        <v>24.5</v>
      </c>
      <c r="AC92">
        <f t="shared" si="28"/>
        <v>9.5</v>
      </c>
      <c r="AD92">
        <f t="shared" si="29"/>
        <v>8.0216365519622523E-2</v>
      </c>
      <c r="AE92" t="e" cm="1">
        <f t="array" ref="AE92">_xlfn.IFS(AD92&gt;0.9,0,AD92&lt;0.01,0)</f>
        <v>#N/A</v>
      </c>
      <c r="AN92">
        <v>23.5</v>
      </c>
      <c r="AO92">
        <v>29.25</v>
      </c>
      <c r="AP92">
        <f t="shared" si="30"/>
        <v>14</v>
      </c>
      <c r="AQ92">
        <f t="shared" si="31"/>
        <v>3.0492796964931731E-2</v>
      </c>
      <c r="AR92" t="e" cm="1">
        <f t="array" ref="AR92">_xlfn.IFS(AQ92&gt;0.9,0,AQ92&lt;0.01,0)</f>
        <v>#N/A</v>
      </c>
      <c r="BA92">
        <v>23.5</v>
      </c>
      <c r="BB92">
        <v>27.25</v>
      </c>
      <c r="BC92">
        <f t="shared" si="32"/>
        <v>5.75</v>
      </c>
      <c r="BD92">
        <f t="shared" si="33"/>
        <v>0.2186706265476579</v>
      </c>
      <c r="BE92" t="e" cm="1">
        <f t="array" ref="BE92">_xlfn.IFS(BD92&gt;0.9,0,BD92&lt;0.01,0)</f>
        <v>#N/A</v>
      </c>
      <c r="BN92">
        <v>23.5</v>
      </c>
      <c r="BO92">
        <v>82</v>
      </c>
      <c r="BP92">
        <f t="shared" si="34"/>
        <v>8.5</v>
      </c>
      <c r="BQ92">
        <f t="shared" si="35"/>
        <v>0.10262577834089112</v>
      </c>
      <c r="BR92" t="e" cm="1">
        <f t="array" ref="BR92">_xlfn.IFS(BQ92&gt;0.9,0,BQ92&lt;0.01,0)</f>
        <v>#N/A</v>
      </c>
      <c r="CA92">
        <v>23.5</v>
      </c>
      <c r="CB92">
        <v>85.25</v>
      </c>
      <c r="CC92">
        <f t="shared" si="36"/>
        <v>0.25</v>
      </c>
      <c r="CD92">
        <f t="shared" si="37"/>
        <v>0.91447316531029288</v>
      </c>
      <c r="CE92" cm="1">
        <f t="array" ref="CE92">_xlfn.IFS(CD92&gt;0.9,0,CD92&lt;0.01,0)</f>
        <v>0</v>
      </c>
      <c r="CN92">
        <v>23.5</v>
      </c>
      <c r="CO92">
        <v>95.5</v>
      </c>
      <c r="CP92">
        <f t="shared" si="38"/>
        <v>9.5</v>
      </c>
      <c r="CQ92">
        <f t="shared" si="39"/>
        <v>9.3710187829047012E-3</v>
      </c>
      <c r="CR92" cm="1">
        <f t="array" ref="CR92">_xlfn.IFS(CQ92&gt;0.9,0,CQ92&lt;0.01,0)</f>
        <v>0</v>
      </c>
      <c r="DA92">
        <v>23.5</v>
      </c>
      <c r="DB92">
        <v>92.25</v>
      </c>
      <c r="DC92">
        <f t="shared" si="40"/>
        <v>8.75</v>
      </c>
      <c r="DD92">
        <f t="shared" si="41"/>
        <v>6.4016171317097206E-2</v>
      </c>
      <c r="DE92" t="e" cm="1">
        <f t="array" ref="DE92">_xlfn.IFS(DD92&gt;0.9,0,DD92&lt;0.01,0)</f>
        <v>#N/A</v>
      </c>
      <c r="DN92">
        <v>23.5</v>
      </c>
      <c r="DO92">
        <v>99.25</v>
      </c>
      <c r="DP92">
        <f t="shared" si="42"/>
        <v>10.25</v>
      </c>
      <c r="DQ92">
        <f t="shared" si="43"/>
        <v>5.8982962937192849E-3</v>
      </c>
      <c r="DR92" cm="1">
        <f t="array" ref="DR92">_xlfn.IFS(DQ92&gt;0.9,0,DQ92&lt;0.01,0)</f>
        <v>0</v>
      </c>
    </row>
    <row r="93" spans="1:122" x14ac:dyDescent="0.4">
      <c r="A93">
        <v>23.75</v>
      </c>
      <c r="B93">
        <v>99.75</v>
      </c>
      <c r="C93">
        <f t="shared" si="24"/>
        <v>11.55</v>
      </c>
      <c r="D93">
        <f t="shared" si="25"/>
        <v>9.0722813777418534E-4</v>
      </c>
      <c r="E93" cm="1">
        <f t="array" ref="E93">_xlfn.IFS(D93&gt;0.9,0,D93&lt;0.01,0)</f>
        <v>0</v>
      </c>
      <c r="N93">
        <v>23.75</v>
      </c>
      <c r="O93">
        <v>42.75</v>
      </c>
      <c r="P93">
        <f t="shared" si="26"/>
        <v>1.75</v>
      </c>
      <c r="Q93">
        <f t="shared" si="27"/>
        <v>0.373626003151453</v>
      </c>
      <c r="R93" t="e" cm="1">
        <f t="array" ref="R93">_xlfn.IFS(Q93&gt;0.9,0,Q93&lt;0.01,0)</f>
        <v>#N/A</v>
      </c>
      <c r="AA93">
        <v>22.75</v>
      </c>
      <c r="AB93">
        <v>24.5</v>
      </c>
      <c r="AC93">
        <f t="shared" si="28"/>
        <v>9.75</v>
      </c>
      <c r="AD93">
        <f t="shared" si="29"/>
        <v>8.0216365519622523E-2</v>
      </c>
      <c r="AE93" t="e" cm="1">
        <f t="array" ref="AE93">_xlfn.IFS(AD93&gt;0.9,0,AD93&lt;0.01,0)</f>
        <v>#N/A</v>
      </c>
      <c r="AN93">
        <v>23.75</v>
      </c>
      <c r="AO93">
        <v>29</v>
      </c>
      <c r="AP93">
        <f t="shared" si="30"/>
        <v>14.25</v>
      </c>
      <c r="AQ93">
        <f t="shared" si="31"/>
        <v>2.7140751908503062E-2</v>
      </c>
      <c r="AR93" t="e" cm="1">
        <f t="array" ref="AR93">_xlfn.IFS(AQ93&gt;0.9,0,AQ93&lt;0.01,0)</f>
        <v>#N/A</v>
      </c>
      <c r="BA93">
        <v>23.75</v>
      </c>
      <c r="BB93">
        <v>26.5</v>
      </c>
      <c r="BC93">
        <f t="shared" si="32"/>
        <v>6</v>
      </c>
      <c r="BD93">
        <f t="shared" si="33"/>
        <v>0.21059991400794631</v>
      </c>
      <c r="BE93" t="e" cm="1">
        <f t="array" ref="BE93">_xlfn.IFS(BD93&gt;0.9,0,BD93&lt;0.01,0)</f>
        <v>#N/A</v>
      </c>
      <c r="BN93">
        <v>23.75</v>
      </c>
      <c r="BO93">
        <v>82.5</v>
      </c>
      <c r="BP93">
        <f t="shared" si="34"/>
        <v>8.75</v>
      </c>
      <c r="BQ93">
        <f t="shared" si="35"/>
        <v>9.6675088938704148E-2</v>
      </c>
      <c r="BR93" t="e" cm="1">
        <f t="array" ref="BR93">_xlfn.IFS(BQ93&gt;0.9,0,BQ93&lt;0.01,0)</f>
        <v>#N/A</v>
      </c>
      <c r="CA93">
        <v>23.75</v>
      </c>
      <c r="CB93">
        <v>82.25</v>
      </c>
      <c r="CC93">
        <f t="shared" si="36"/>
        <v>0.5</v>
      </c>
      <c r="CD93">
        <f t="shared" si="37"/>
        <v>0.87873660058079084</v>
      </c>
      <c r="CE93" t="e" cm="1">
        <f t="array" ref="CE93">_xlfn.IFS(CD93&gt;0.9,0,CD93&lt;0.01,0)</f>
        <v>#N/A</v>
      </c>
      <c r="CN93">
        <v>23.75</v>
      </c>
      <c r="CO93">
        <v>95.25</v>
      </c>
      <c r="CP93">
        <f t="shared" si="38"/>
        <v>9.75</v>
      </c>
      <c r="CQ93">
        <f t="shared" si="39"/>
        <v>1.2153539718442966E-2</v>
      </c>
      <c r="CR93" t="e" cm="1">
        <f t="array" ref="CR93">_xlfn.IFS(CQ93&gt;0.9,0,CQ93&lt;0.01,0)</f>
        <v>#N/A</v>
      </c>
      <c r="DA93">
        <v>23.75</v>
      </c>
      <c r="DB93">
        <v>92.75</v>
      </c>
      <c r="DC93">
        <f t="shared" si="40"/>
        <v>9</v>
      </c>
      <c r="DD93">
        <f t="shared" si="41"/>
        <v>5.8391518885662005E-2</v>
      </c>
      <c r="DE93" t="e" cm="1">
        <f t="array" ref="DE93">_xlfn.IFS(DD93&gt;0.9,0,DD93&lt;0.01,0)</f>
        <v>#N/A</v>
      </c>
      <c r="DN93">
        <v>23.75</v>
      </c>
      <c r="DO93">
        <v>99.25</v>
      </c>
      <c r="DP93">
        <f t="shared" si="42"/>
        <v>10.5</v>
      </c>
      <c r="DQ93">
        <f t="shared" si="43"/>
        <v>5.8982962937192849E-3</v>
      </c>
      <c r="DR93" cm="1">
        <f t="array" ref="DR93">_xlfn.IFS(DQ93&gt;0.9,0,DQ93&lt;0.01,0)</f>
        <v>0</v>
      </c>
    </row>
    <row r="94" spans="1:122" x14ac:dyDescent="0.4">
      <c r="A94">
        <v>24</v>
      </c>
      <c r="B94">
        <v>99.75</v>
      </c>
      <c r="C94">
        <f t="shared" si="24"/>
        <v>11.8</v>
      </c>
      <c r="D94">
        <f t="shared" si="25"/>
        <v>9.0722813777418534E-4</v>
      </c>
      <c r="E94" cm="1">
        <f t="array" ref="E94">_xlfn.IFS(D94&gt;0.9,0,D94&lt;0.01,0)</f>
        <v>0</v>
      </c>
      <c r="N94">
        <v>24</v>
      </c>
      <c r="O94">
        <v>37.25</v>
      </c>
      <c r="P94">
        <f t="shared" si="26"/>
        <v>2</v>
      </c>
      <c r="Q94">
        <f t="shared" si="27"/>
        <v>0.31545164718384694</v>
      </c>
      <c r="R94" t="e" cm="1">
        <f t="array" ref="R94">_xlfn.IFS(Q94&gt;0.9,0,Q94&lt;0.01,0)</f>
        <v>#N/A</v>
      </c>
      <c r="AA94">
        <v>23</v>
      </c>
      <c r="AB94">
        <v>24.75</v>
      </c>
      <c r="AC94">
        <f t="shared" si="28"/>
        <v>10</v>
      </c>
      <c r="AD94">
        <f t="shared" si="29"/>
        <v>6.7010012659684676E-2</v>
      </c>
      <c r="AE94" t="e" cm="1">
        <f t="array" ref="AE94">_xlfn.IFS(AD94&gt;0.9,0,AD94&lt;0.01,0)</f>
        <v>#N/A</v>
      </c>
      <c r="AN94">
        <v>24</v>
      </c>
      <c r="AO94">
        <v>29</v>
      </c>
      <c r="AP94">
        <f t="shared" si="30"/>
        <v>14.5</v>
      </c>
      <c r="AQ94">
        <f t="shared" si="31"/>
        <v>2.7140751908503062E-2</v>
      </c>
      <c r="AR94" t="e" cm="1">
        <f t="array" ref="AR94">_xlfn.IFS(AQ94&gt;0.9,0,AQ94&lt;0.01,0)</f>
        <v>#N/A</v>
      </c>
      <c r="BA94">
        <v>24</v>
      </c>
      <c r="BB94">
        <v>25.5</v>
      </c>
      <c r="BC94">
        <f t="shared" si="32"/>
        <v>6.25</v>
      </c>
      <c r="BD94">
        <f t="shared" si="33"/>
        <v>0.19983896395499748</v>
      </c>
      <c r="BE94" t="e" cm="1">
        <f t="array" ref="BE94">_xlfn.IFS(BD94&gt;0.9,0,BD94&lt;0.01,0)</f>
        <v>#N/A</v>
      </c>
      <c r="BN94">
        <v>24</v>
      </c>
      <c r="BO94">
        <v>83</v>
      </c>
      <c r="BP94">
        <f t="shared" si="34"/>
        <v>9</v>
      </c>
      <c r="BQ94">
        <f t="shared" si="35"/>
        <v>9.0724399536517189E-2</v>
      </c>
      <c r="BR94" t="e" cm="1">
        <f t="array" ref="BR94">_xlfn.IFS(BQ94&gt;0.9,0,BQ94&lt;0.01,0)</f>
        <v>#N/A</v>
      </c>
      <c r="CA94">
        <v>24</v>
      </c>
      <c r="CB94">
        <v>79.5</v>
      </c>
      <c r="CC94">
        <f t="shared" si="36"/>
        <v>0.75</v>
      </c>
      <c r="CD94">
        <f t="shared" si="37"/>
        <v>0.84597808291208065</v>
      </c>
      <c r="CE94" t="e" cm="1">
        <f t="array" ref="CE94">_xlfn.IFS(CD94&gt;0.9,0,CD94&lt;0.01,0)</f>
        <v>#N/A</v>
      </c>
      <c r="CN94">
        <v>24</v>
      </c>
      <c r="CO94">
        <v>95.25</v>
      </c>
      <c r="CP94">
        <f t="shared" si="38"/>
        <v>10</v>
      </c>
      <c r="CQ94">
        <f t="shared" si="39"/>
        <v>1.2153539718442966E-2</v>
      </c>
      <c r="CR94" t="e" cm="1">
        <f t="array" ref="CR94">_xlfn.IFS(CQ94&gt;0.9,0,CQ94&lt;0.01,0)</f>
        <v>#N/A</v>
      </c>
      <c r="DA94">
        <v>24</v>
      </c>
      <c r="DB94">
        <v>93</v>
      </c>
      <c r="DC94">
        <f t="shared" si="40"/>
        <v>9.25</v>
      </c>
      <c r="DD94">
        <f t="shared" si="41"/>
        <v>5.5579192669944405E-2</v>
      </c>
      <c r="DE94" t="e" cm="1">
        <f t="array" ref="DE94">_xlfn.IFS(DD94&gt;0.9,0,DD94&lt;0.01,0)</f>
        <v>#N/A</v>
      </c>
      <c r="DN94">
        <v>24</v>
      </c>
      <c r="DO94">
        <v>99.5</v>
      </c>
      <c r="DP94">
        <f t="shared" si="42"/>
        <v>10.75</v>
      </c>
      <c r="DQ94">
        <f t="shared" si="43"/>
        <v>3.2416909925266591E-3</v>
      </c>
      <c r="DR94" cm="1">
        <f t="array" ref="DR94">_xlfn.IFS(DQ94&gt;0.9,0,DQ94&lt;0.01,0)</f>
        <v>0</v>
      </c>
    </row>
    <row r="95" spans="1:122" x14ac:dyDescent="0.4">
      <c r="A95">
        <v>24.25</v>
      </c>
      <c r="B95">
        <v>99.75</v>
      </c>
      <c r="C95">
        <f t="shared" si="24"/>
        <v>12.05</v>
      </c>
      <c r="D95">
        <f t="shared" si="25"/>
        <v>9.0722813777418534E-4</v>
      </c>
      <c r="E95" cm="1">
        <f t="array" ref="E95">_xlfn.IFS(D95&gt;0.9,0,D95&lt;0.01,0)</f>
        <v>0</v>
      </c>
      <c r="N95">
        <v>24.25</v>
      </c>
      <c r="O95">
        <v>34.5</v>
      </c>
      <c r="P95">
        <f t="shared" si="26"/>
        <v>2.25</v>
      </c>
      <c r="Q95">
        <f t="shared" si="27"/>
        <v>0.28636446920004399</v>
      </c>
      <c r="R95" t="e" cm="1">
        <f t="array" ref="R95">_xlfn.IFS(Q95&gt;0.9,0,Q95&lt;0.01,0)</f>
        <v>#N/A</v>
      </c>
      <c r="AA95">
        <v>23.25</v>
      </c>
      <c r="AB95">
        <v>24.75</v>
      </c>
      <c r="AC95">
        <f t="shared" si="28"/>
        <v>10.25</v>
      </c>
      <c r="AD95">
        <f t="shared" si="29"/>
        <v>6.7010012659684676E-2</v>
      </c>
      <c r="AE95" t="e" cm="1">
        <f t="array" ref="AE95">_xlfn.IFS(AD95&gt;0.9,0,AD95&lt;0.01,0)</f>
        <v>#N/A</v>
      </c>
      <c r="AN95">
        <v>24.25</v>
      </c>
      <c r="AO95">
        <v>28.75</v>
      </c>
      <c r="AP95">
        <f t="shared" si="30"/>
        <v>14.75</v>
      </c>
      <c r="AQ95">
        <f t="shared" si="31"/>
        <v>2.3788706852074397E-2</v>
      </c>
      <c r="AR95" t="e" cm="1">
        <f t="array" ref="AR95">_xlfn.IFS(AQ95&gt;0.9,0,AQ95&lt;0.01,0)</f>
        <v>#N/A</v>
      </c>
      <c r="BA95">
        <v>24.25</v>
      </c>
      <c r="BB95">
        <v>24.75</v>
      </c>
      <c r="BC95">
        <f t="shared" si="32"/>
        <v>6.5</v>
      </c>
      <c r="BD95">
        <f t="shared" si="33"/>
        <v>0.19176825141528589</v>
      </c>
      <c r="BE95" t="e" cm="1">
        <f t="array" ref="BE95">_xlfn.IFS(BD95&gt;0.9,0,BD95&lt;0.01,0)</f>
        <v>#N/A</v>
      </c>
      <c r="BN95">
        <v>24.25</v>
      </c>
      <c r="BO95">
        <v>83.25</v>
      </c>
      <c r="BP95">
        <f t="shared" si="34"/>
        <v>9.25</v>
      </c>
      <c r="BQ95">
        <f t="shared" si="35"/>
        <v>8.7749054835423695E-2</v>
      </c>
      <c r="BR95" t="e" cm="1">
        <f t="array" ref="BR95">_xlfn.IFS(BQ95&gt;0.9,0,BQ95&lt;0.01,0)</f>
        <v>#N/A</v>
      </c>
      <c r="CA95">
        <v>24.25</v>
      </c>
      <c r="CB95">
        <v>29.75</v>
      </c>
      <c r="CC95">
        <f t="shared" si="36"/>
        <v>1</v>
      </c>
      <c r="CD95">
        <f t="shared" si="37"/>
        <v>0.25334671781450541</v>
      </c>
      <c r="CE95" t="e" cm="1">
        <f t="array" ref="CE95">_xlfn.IFS(CD95&gt;0.9,0,CD95&lt;0.01,0)</f>
        <v>#N/A</v>
      </c>
      <c r="CN95">
        <v>24.25</v>
      </c>
      <c r="CO95">
        <v>95.5</v>
      </c>
      <c r="CP95">
        <f t="shared" si="38"/>
        <v>10.25</v>
      </c>
      <c r="CQ95">
        <f t="shared" si="39"/>
        <v>9.3710187829047012E-3</v>
      </c>
      <c r="CR95" cm="1">
        <f t="array" ref="CR95">_xlfn.IFS(CQ95&gt;0.9,0,CQ95&lt;0.01,0)</f>
        <v>0</v>
      </c>
      <c r="DA95">
        <v>24.25</v>
      </c>
      <c r="DB95">
        <v>93.5</v>
      </c>
      <c r="DC95">
        <f t="shared" si="40"/>
        <v>9.5</v>
      </c>
      <c r="DD95">
        <f t="shared" si="41"/>
        <v>4.9954540238509197E-2</v>
      </c>
      <c r="DE95" t="e" cm="1">
        <f t="array" ref="DE95">_xlfn.IFS(DD95&gt;0.9,0,DD95&lt;0.01,0)</f>
        <v>#N/A</v>
      </c>
      <c r="DN95">
        <v>24.25</v>
      </c>
      <c r="DO95">
        <v>99.5</v>
      </c>
      <c r="DP95">
        <f t="shared" si="42"/>
        <v>11</v>
      </c>
      <c r="DQ95">
        <f t="shared" si="43"/>
        <v>3.2416909925266591E-3</v>
      </c>
      <c r="DR95" cm="1">
        <f t="array" ref="DR95">_xlfn.IFS(DQ95&gt;0.9,0,DQ95&lt;0.01,0)</f>
        <v>0</v>
      </c>
    </row>
    <row r="96" spans="1:122" x14ac:dyDescent="0.4">
      <c r="A96">
        <v>24.5</v>
      </c>
      <c r="B96">
        <v>99.75</v>
      </c>
      <c r="C96">
        <f t="shared" si="24"/>
        <v>12.3</v>
      </c>
      <c r="D96">
        <f t="shared" si="25"/>
        <v>9.0722813777418534E-4</v>
      </c>
      <c r="E96" cm="1">
        <f t="array" ref="E96">_xlfn.IFS(D96&gt;0.9,0,D96&lt;0.01,0)</f>
        <v>0</v>
      </c>
      <c r="N96">
        <v>24.5</v>
      </c>
      <c r="O96">
        <v>32.25</v>
      </c>
      <c r="P96">
        <f t="shared" si="26"/>
        <v>2.5</v>
      </c>
      <c r="Q96">
        <f t="shared" si="27"/>
        <v>0.26256586903147788</v>
      </c>
      <c r="R96" t="e" cm="1">
        <f t="array" ref="R96">_xlfn.IFS(Q96&gt;0.9,0,Q96&lt;0.01,0)</f>
        <v>#N/A</v>
      </c>
      <c r="AA96">
        <v>23.5</v>
      </c>
      <c r="AB96">
        <v>24.75</v>
      </c>
      <c r="AC96">
        <f t="shared" si="28"/>
        <v>10.5</v>
      </c>
      <c r="AD96">
        <f t="shared" si="29"/>
        <v>6.7010012659684676E-2</v>
      </c>
      <c r="AE96" t="e" cm="1">
        <f t="array" ref="AE96">_xlfn.IFS(AD96&gt;0.9,0,AD96&lt;0.01,0)</f>
        <v>#N/A</v>
      </c>
      <c r="AN96">
        <v>24.5</v>
      </c>
      <c r="AO96">
        <v>28.75</v>
      </c>
      <c r="AP96">
        <f t="shared" si="30"/>
        <v>15</v>
      </c>
      <c r="AQ96">
        <f t="shared" si="31"/>
        <v>2.3788706852074397E-2</v>
      </c>
      <c r="AR96" t="e" cm="1">
        <f t="array" ref="AR96">_xlfn.IFS(AQ96&gt;0.9,0,AQ96&lt;0.01,0)</f>
        <v>#N/A</v>
      </c>
      <c r="BA96">
        <v>24.5</v>
      </c>
      <c r="BB96">
        <v>24</v>
      </c>
      <c r="BC96">
        <f t="shared" si="32"/>
        <v>6.75</v>
      </c>
      <c r="BD96">
        <f t="shared" si="33"/>
        <v>0.18369753887557427</v>
      </c>
      <c r="BE96" t="e" cm="1">
        <f t="array" ref="BE96">_xlfn.IFS(BD96&gt;0.9,0,BD96&lt;0.01,0)</f>
        <v>#N/A</v>
      </c>
      <c r="BN96">
        <v>24.5</v>
      </c>
      <c r="BO96">
        <v>83.5</v>
      </c>
      <c r="BP96">
        <f t="shared" si="34"/>
        <v>9.5</v>
      </c>
      <c r="BQ96">
        <f t="shared" si="35"/>
        <v>8.4773710134330216E-2</v>
      </c>
      <c r="BR96" t="e" cm="1">
        <f t="array" ref="BR96">_xlfn.IFS(BQ96&gt;0.9,0,BQ96&lt;0.01,0)</f>
        <v>#N/A</v>
      </c>
      <c r="CA96">
        <v>24.5</v>
      </c>
      <c r="CB96">
        <v>16</v>
      </c>
      <c r="CC96">
        <f t="shared" si="36"/>
        <v>1.25</v>
      </c>
      <c r="CD96">
        <f t="shared" si="37"/>
        <v>8.955412947095448E-2</v>
      </c>
      <c r="CE96" t="e" cm="1">
        <f t="array" ref="CE96">_xlfn.IFS(CD96&gt;0.9,0,CD96&lt;0.01,0)</f>
        <v>#N/A</v>
      </c>
      <c r="CN96">
        <v>24.5</v>
      </c>
      <c r="CO96">
        <v>95.75</v>
      </c>
      <c r="CP96">
        <f t="shared" si="38"/>
        <v>10.5</v>
      </c>
      <c r="CQ96">
        <f t="shared" si="39"/>
        <v>6.5884978473664353E-3</v>
      </c>
      <c r="CR96" cm="1">
        <f t="array" ref="CR96">_xlfn.IFS(CQ96&gt;0.9,0,CQ96&lt;0.01,0)</f>
        <v>0</v>
      </c>
      <c r="DA96">
        <v>24.5</v>
      </c>
      <c r="DB96">
        <v>93.75</v>
      </c>
      <c r="DC96">
        <f t="shared" si="40"/>
        <v>9.75</v>
      </c>
      <c r="DD96">
        <f t="shared" si="41"/>
        <v>4.7142214022791597E-2</v>
      </c>
      <c r="DE96" t="e" cm="1">
        <f t="array" ref="DE96">_xlfn.IFS(DD96&gt;0.9,0,DD96&lt;0.01,0)</f>
        <v>#N/A</v>
      </c>
      <c r="DN96">
        <v>24.5</v>
      </c>
      <c r="DO96">
        <v>99.5</v>
      </c>
      <c r="DP96">
        <f t="shared" si="42"/>
        <v>11.25</v>
      </c>
      <c r="DQ96">
        <f t="shared" si="43"/>
        <v>3.2416909925266591E-3</v>
      </c>
      <c r="DR96" cm="1">
        <f t="array" ref="DR96">_xlfn.IFS(DQ96&gt;0.9,0,DQ96&lt;0.01,0)</f>
        <v>0</v>
      </c>
    </row>
    <row r="97" spans="1:122" x14ac:dyDescent="0.4">
      <c r="A97">
        <v>24.75</v>
      </c>
      <c r="B97">
        <v>99.75</v>
      </c>
      <c r="C97">
        <f t="shared" si="24"/>
        <v>12.55</v>
      </c>
      <c r="D97">
        <f t="shared" si="25"/>
        <v>9.0722813777418534E-4</v>
      </c>
      <c r="E97" cm="1">
        <f t="array" ref="E97">_xlfn.IFS(D97&gt;0.9,0,D97&lt;0.01,0)</f>
        <v>0</v>
      </c>
      <c r="N97">
        <v>24.75</v>
      </c>
      <c r="O97">
        <v>30.25</v>
      </c>
      <c r="P97">
        <f t="shared" si="26"/>
        <v>2.75</v>
      </c>
      <c r="Q97">
        <f t="shared" si="27"/>
        <v>0.24141155777053025</v>
      </c>
      <c r="R97" t="e" cm="1">
        <f t="array" ref="R97">_xlfn.IFS(Q97&gt;0.9,0,Q97&lt;0.01,0)</f>
        <v>#N/A</v>
      </c>
      <c r="AA97">
        <v>23.75</v>
      </c>
      <c r="AB97">
        <v>24.75</v>
      </c>
      <c r="AC97">
        <f t="shared" si="28"/>
        <v>10.75</v>
      </c>
      <c r="AD97">
        <f t="shared" si="29"/>
        <v>6.7010012659684676E-2</v>
      </c>
      <c r="AE97" t="e" cm="1">
        <f t="array" ref="AE97">_xlfn.IFS(AD97&gt;0.9,0,AD97&lt;0.01,0)</f>
        <v>#N/A</v>
      </c>
      <c r="AN97">
        <v>24.75</v>
      </c>
      <c r="AO97">
        <v>28.75</v>
      </c>
      <c r="AP97">
        <f t="shared" si="30"/>
        <v>15.25</v>
      </c>
      <c r="AQ97">
        <f t="shared" si="31"/>
        <v>2.3788706852074397E-2</v>
      </c>
      <c r="AR97" t="e" cm="1">
        <f t="array" ref="AR97">_xlfn.IFS(AQ97&gt;0.9,0,AQ97&lt;0.01,0)</f>
        <v>#N/A</v>
      </c>
      <c r="BA97">
        <v>24.75</v>
      </c>
      <c r="BB97">
        <v>23.25</v>
      </c>
      <c r="BC97">
        <f t="shared" si="32"/>
        <v>7</v>
      </c>
      <c r="BD97">
        <f t="shared" si="33"/>
        <v>0.17562682633586266</v>
      </c>
      <c r="BE97" t="e" cm="1">
        <f t="array" ref="BE97">_xlfn.IFS(BD97&gt;0.9,0,BD97&lt;0.01,0)</f>
        <v>#N/A</v>
      </c>
      <c r="BN97">
        <v>24.75</v>
      </c>
      <c r="BO97">
        <v>84</v>
      </c>
      <c r="BP97">
        <f t="shared" si="34"/>
        <v>9.75</v>
      </c>
      <c r="BQ97">
        <f t="shared" si="35"/>
        <v>7.8823020732143242E-2</v>
      </c>
      <c r="BR97" t="e" cm="1">
        <f t="array" ref="BR97">_xlfn.IFS(BQ97&gt;0.9,0,BQ97&lt;0.01,0)</f>
        <v>#N/A</v>
      </c>
      <c r="CA97">
        <v>24.75</v>
      </c>
      <c r="CB97">
        <v>11.75</v>
      </c>
      <c r="CC97">
        <f t="shared" si="36"/>
        <v>1.5</v>
      </c>
      <c r="CD97">
        <f t="shared" si="37"/>
        <v>3.8927329437493274E-2</v>
      </c>
      <c r="CE97" t="e" cm="1">
        <f t="array" ref="CE97">_xlfn.IFS(CD97&gt;0.9,0,CD97&lt;0.01,0)</f>
        <v>#N/A</v>
      </c>
      <c r="CN97">
        <v>24.75</v>
      </c>
      <c r="CO97">
        <v>95.5</v>
      </c>
      <c r="CP97">
        <f t="shared" si="38"/>
        <v>10.75</v>
      </c>
      <c r="CQ97">
        <f t="shared" si="39"/>
        <v>9.3710187829047012E-3</v>
      </c>
      <c r="CR97" cm="1">
        <f t="array" ref="CR97">_xlfn.IFS(CQ97&gt;0.9,0,CQ97&lt;0.01,0)</f>
        <v>0</v>
      </c>
      <c r="DA97">
        <v>24.75</v>
      </c>
      <c r="DB97">
        <v>94</v>
      </c>
      <c r="DC97">
        <f t="shared" si="40"/>
        <v>10</v>
      </c>
      <c r="DD97">
        <f t="shared" si="41"/>
        <v>4.4329887807073996E-2</v>
      </c>
      <c r="DE97" t="e" cm="1">
        <f t="array" ref="DE97">_xlfn.IFS(DD97&gt;0.9,0,DD97&lt;0.01,0)</f>
        <v>#N/A</v>
      </c>
      <c r="DN97">
        <v>24.75</v>
      </c>
      <c r="DO97">
        <v>99.5</v>
      </c>
      <c r="DP97">
        <f t="shared" si="42"/>
        <v>11.5</v>
      </c>
      <c r="DQ97">
        <f t="shared" si="43"/>
        <v>3.2416909925266591E-3</v>
      </c>
      <c r="DR97" cm="1">
        <f t="array" ref="DR97">_xlfn.IFS(DQ97&gt;0.9,0,DQ97&lt;0.01,0)</f>
        <v>0</v>
      </c>
    </row>
    <row r="98" spans="1:122" x14ac:dyDescent="0.4">
      <c r="A98">
        <v>25</v>
      </c>
      <c r="B98">
        <v>99.75</v>
      </c>
      <c r="C98">
        <f t="shared" si="24"/>
        <v>12.8</v>
      </c>
      <c r="D98">
        <f t="shared" si="25"/>
        <v>9.0722813777418534E-4</v>
      </c>
      <c r="E98" cm="1">
        <f t="array" ref="E98">_xlfn.IFS(D98&gt;0.9,0,D98&lt;0.01,0)</f>
        <v>0</v>
      </c>
      <c r="N98">
        <v>25</v>
      </c>
      <c r="O98">
        <v>29</v>
      </c>
      <c r="P98">
        <f t="shared" si="26"/>
        <v>3</v>
      </c>
      <c r="Q98">
        <f t="shared" si="27"/>
        <v>0.22819011323243799</v>
      </c>
      <c r="R98" t="e" cm="1">
        <f t="array" ref="R98">_xlfn.IFS(Q98&gt;0.9,0,Q98&lt;0.01,0)</f>
        <v>#N/A</v>
      </c>
      <c r="AA98">
        <v>24</v>
      </c>
      <c r="AB98">
        <v>24.75</v>
      </c>
      <c r="AC98">
        <f t="shared" si="28"/>
        <v>11</v>
      </c>
      <c r="AD98">
        <f t="shared" si="29"/>
        <v>6.7010012659684676E-2</v>
      </c>
      <c r="AE98" t="e" cm="1">
        <f t="array" ref="AE98">_xlfn.IFS(AD98&gt;0.9,0,AD98&lt;0.01,0)</f>
        <v>#N/A</v>
      </c>
      <c r="AN98">
        <v>25</v>
      </c>
      <c r="AO98">
        <v>28.75</v>
      </c>
      <c r="AP98">
        <f t="shared" si="30"/>
        <v>15.5</v>
      </c>
      <c r="AQ98">
        <f t="shared" si="31"/>
        <v>2.3788706852074397E-2</v>
      </c>
      <c r="AR98" t="e" cm="1">
        <f t="array" ref="AR98">_xlfn.IFS(AQ98&gt;0.9,0,AQ98&lt;0.01,0)</f>
        <v>#N/A</v>
      </c>
      <c r="BA98">
        <v>25</v>
      </c>
      <c r="BB98">
        <v>22.5</v>
      </c>
      <c r="BC98">
        <f t="shared" si="32"/>
        <v>7.25</v>
      </c>
      <c r="BD98">
        <f t="shared" si="33"/>
        <v>0.16755611379615107</v>
      </c>
      <c r="BE98" t="e" cm="1">
        <f t="array" ref="BE98">_xlfn.IFS(BD98&gt;0.9,0,BD98&lt;0.01,0)</f>
        <v>#N/A</v>
      </c>
      <c r="BN98">
        <v>25</v>
      </c>
      <c r="BO98">
        <v>84.25</v>
      </c>
      <c r="BP98">
        <f t="shared" si="34"/>
        <v>10</v>
      </c>
      <c r="BQ98">
        <f t="shared" si="35"/>
        <v>7.5847676031049763E-2</v>
      </c>
      <c r="BR98" t="e" cm="1">
        <f t="array" ref="BR98">_xlfn.IFS(BQ98&gt;0.9,0,BQ98&lt;0.01,0)</f>
        <v>#N/A</v>
      </c>
      <c r="CA98">
        <v>25</v>
      </c>
      <c r="CB98">
        <v>11</v>
      </c>
      <c r="CC98">
        <f t="shared" si="36"/>
        <v>1.75</v>
      </c>
      <c r="CD98">
        <f t="shared" si="37"/>
        <v>2.9993188255117764E-2</v>
      </c>
      <c r="CE98" t="e" cm="1">
        <f t="array" ref="CE98">_xlfn.IFS(CD98&gt;0.9,0,CD98&lt;0.01,0)</f>
        <v>#N/A</v>
      </c>
      <c r="CN98">
        <v>25</v>
      </c>
      <c r="CO98">
        <v>95.5</v>
      </c>
      <c r="CP98">
        <f t="shared" si="38"/>
        <v>11</v>
      </c>
      <c r="CQ98">
        <f t="shared" si="39"/>
        <v>9.3710187829047012E-3</v>
      </c>
      <c r="CR98" cm="1">
        <f t="array" ref="CR98">_xlfn.IFS(CQ98&gt;0.9,0,CQ98&lt;0.01,0)</f>
        <v>0</v>
      </c>
      <c r="DA98">
        <v>25</v>
      </c>
      <c r="DB98">
        <v>94.25</v>
      </c>
      <c r="DC98">
        <f t="shared" si="40"/>
        <v>10.25</v>
      </c>
      <c r="DD98">
        <f t="shared" si="41"/>
        <v>4.1517561591356396E-2</v>
      </c>
      <c r="DE98" t="e" cm="1">
        <f t="array" ref="DE98">_xlfn.IFS(DD98&gt;0.9,0,DD98&lt;0.01,0)</f>
        <v>#N/A</v>
      </c>
      <c r="DN98">
        <v>25</v>
      </c>
      <c r="DO98">
        <v>99.5</v>
      </c>
      <c r="DP98">
        <f t="shared" si="42"/>
        <v>11.75</v>
      </c>
      <c r="DQ98">
        <f t="shared" si="43"/>
        <v>3.2416909925266591E-3</v>
      </c>
      <c r="DR98" cm="1">
        <f t="array" ref="DR98">_xlfn.IFS(DQ98&gt;0.9,0,DQ98&lt;0.01,0)</f>
        <v>0</v>
      </c>
    </row>
    <row r="99" spans="1:122" x14ac:dyDescent="0.4">
      <c r="A99">
        <v>25.25</v>
      </c>
      <c r="B99">
        <v>99.75</v>
      </c>
      <c r="C99">
        <f t="shared" si="24"/>
        <v>13.05</v>
      </c>
      <c r="D99">
        <f t="shared" si="25"/>
        <v>9.0722813777418534E-4</v>
      </c>
      <c r="E99" cm="1">
        <f t="array" ref="E99">_xlfn.IFS(D99&gt;0.9,0,D99&lt;0.01,0)</f>
        <v>0</v>
      </c>
      <c r="N99">
        <v>25.25</v>
      </c>
      <c r="O99">
        <v>27.75</v>
      </c>
      <c r="P99">
        <f t="shared" si="26"/>
        <v>3.25</v>
      </c>
      <c r="Q99">
        <f t="shared" si="27"/>
        <v>0.21496866869434569</v>
      </c>
      <c r="R99" t="e" cm="1">
        <f t="array" ref="R99">_xlfn.IFS(Q99&gt;0.9,0,Q99&lt;0.01,0)</f>
        <v>#N/A</v>
      </c>
      <c r="AA99">
        <v>24.25</v>
      </c>
      <c r="AB99">
        <v>24.75</v>
      </c>
      <c r="AC99">
        <f t="shared" si="28"/>
        <v>11.25</v>
      </c>
      <c r="AD99">
        <f t="shared" si="29"/>
        <v>6.7010012659684676E-2</v>
      </c>
      <c r="AE99" t="e" cm="1">
        <f t="array" ref="AE99">_xlfn.IFS(AD99&gt;0.9,0,AD99&lt;0.01,0)</f>
        <v>#N/A</v>
      </c>
      <c r="AN99">
        <v>25.25</v>
      </c>
      <c r="AO99">
        <v>28.75</v>
      </c>
      <c r="AP99">
        <f t="shared" si="30"/>
        <v>15.75</v>
      </c>
      <c r="AQ99">
        <f t="shared" si="31"/>
        <v>2.3788706852074397E-2</v>
      </c>
      <c r="AR99" t="e" cm="1">
        <f t="array" ref="AR99">_xlfn.IFS(AQ99&gt;0.9,0,AQ99&lt;0.01,0)</f>
        <v>#N/A</v>
      </c>
      <c r="BA99">
        <v>25.25</v>
      </c>
      <c r="BB99">
        <v>22</v>
      </c>
      <c r="BC99">
        <f t="shared" si="32"/>
        <v>7.5</v>
      </c>
      <c r="BD99">
        <f t="shared" si="33"/>
        <v>0.16217563876967664</v>
      </c>
      <c r="BE99" t="e" cm="1">
        <f t="array" ref="BE99">_xlfn.IFS(BD99&gt;0.9,0,BD99&lt;0.01,0)</f>
        <v>#N/A</v>
      </c>
      <c r="BN99">
        <v>25.25</v>
      </c>
      <c r="BO99">
        <v>84.5</v>
      </c>
      <c r="BP99">
        <f t="shared" si="34"/>
        <v>10.25</v>
      </c>
      <c r="BQ99">
        <f t="shared" si="35"/>
        <v>7.2872331329956283E-2</v>
      </c>
      <c r="BR99" t="e" cm="1">
        <f t="array" ref="BR99">_xlfn.IFS(BQ99&gt;0.9,0,BQ99&lt;0.01,0)</f>
        <v>#N/A</v>
      </c>
      <c r="CA99">
        <v>25.25</v>
      </c>
      <c r="CB99">
        <v>11.25</v>
      </c>
      <c r="CC99">
        <f t="shared" si="36"/>
        <v>2</v>
      </c>
      <c r="CD99">
        <f t="shared" si="37"/>
        <v>3.2971235315909599E-2</v>
      </c>
      <c r="CE99" t="e" cm="1">
        <f t="array" ref="CE99">_xlfn.IFS(CD99&gt;0.9,0,CD99&lt;0.01,0)</f>
        <v>#N/A</v>
      </c>
      <c r="CN99">
        <v>25.25</v>
      </c>
      <c r="CO99">
        <v>95.5</v>
      </c>
      <c r="CP99">
        <f t="shared" si="38"/>
        <v>11.25</v>
      </c>
      <c r="CQ99">
        <f t="shared" si="39"/>
        <v>9.3710187829047012E-3</v>
      </c>
      <c r="CR99" cm="1">
        <f t="array" ref="CR99">_xlfn.IFS(CQ99&gt;0.9,0,CQ99&lt;0.01,0)</f>
        <v>0</v>
      </c>
      <c r="DA99">
        <v>25.25</v>
      </c>
      <c r="DB99">
        <v>94.25</v>
      </c>
      <c r="DC99">
        <f t="shared" si="40"/>
        <v>10.5</v>
      </c>
      <c r="DD99">
        <f t="shared" si="41"/>
        <v>4.1517561591356396E-2</v>
      </c>
      <c r="DE99" t="e" cm="1">
        <f t="array" ref="DE99">_xlfn.IFS(DD99&gt;0.9,0,DD99&lt;0.01,0)</f>
        <v>#N/A</v>
      </c>
      <c r="DN99">
        <v>25.25</v>
      </c>
      <c r="DO99">
        <v>99.5</v>
      </c>
      <c r="DP99">
        <f t="shared" si="42"/>
        <v>12</v>
      </c>
      <c r="DQ99">
        <f t="shared" si="43"/>
        <v>3.2416909925266591E-3</v>
      </c>
      <c r="DR99" cm="1">
        <f t="array" ref="DR99">_xlfn.IFS(DQ99&gt;0.9,0,DQ99&lt;0.01,0)</f>
        <v>0</v>
      </c>
    </row>
    <row r="100" spans="1:122" x14ac:dyDescent="0.4">
      <c r="A100">
        <v>25.5</v>
      </c>
      <c r="B100">
        <v>99.75</v>
      </c>
      <c r="C100">
        <f t="shared" si="24"/>
        <v>13.3</v>
      </c>
      <c r="D100">
        <f t="shared" si="25"/>
        <v>9.0722813777418534E-4</v>
      </c>
      <c r="E100" cm="1">
        <f t="array" ref="E100">_xlfn.IFS(D100&gt;0.9,0,D100&lt;0.01,0)</f>
        <v>0</v>
      </c>
      <c r="N100">
        <v>25.5</v>
      </c>
      <c r="O100">
        <v>26.5</v>
      </c>
      <c r="P100">
        <f t="shared" si="26"/>
        <v>3.5</v>
      </c>
      <c r="Q100">
        <f t="shared" si="27"/>
        <v>0.20174722415625343</v>
      </c>
      <c r="R100" t="e" cm="1">
        <f t="array" ref="R100">_xlfn.IFS(Q100&gt;0.9,0,Q100&lt;0.01,0)</f>
        <v>#N/A</v>
      </c>
      <c r="AA100">
        <v>24.5</v>
      </c>
      <c r="AB100">
        <v>24.75</v>
      </c>
      <c r="AC100">
        <f t="shared" si="28"/>
        <v>11.5</v>
      </c>
      <c r="AD100">
        <f t="shared" si="29"/>
        <v>6.7010012659684676E-2</v>
      </c>
      <c r="AE100" t="e" cm="1">
        <f t="array" ref="AE100">_xlfn.IFS(AD100&gt;0.9,0,AD100&lt;0.01,0)</f>
        <v>#N/A</v>
      </c>
      <c r="AN100">
        <v>25.5</v>
      </c>
      <c r="AO100">
        <v>28.5</v>
      </c>
      <c r="AP100">
        <f t="shared" si="30"/>
        <v>16</v>
      </c>
      <c r="AQ100">
        <f t="shared" si="31"/>
        <v>2.0436661795645732E-2</v>
      </c>
      <c r="AR100" t="e" cm="1">
        <f t="array" ref="AR100">_xlfn.IFS(AQ100&gt;0.9,0,AQ100&lt;0.01,0)</f>
        <v>#N/A</v>
      </c>
      <c r="BA100">
        <v>25.5</v>
      </c>
      <c r="BB100">
        <v>21.25</v>
      </c>
      <c r="BC100">
        <f t="shared" si="32"/>
        <v>7.75</v>
      </c>
      <c r="BD100">
        <f t="shared" si="33"/>
        <v>0.15410492622996505</v>
      </c>
      <c r="BE100" t="e" cm="1">
        <f t="array" ref="BE100">_xlfn.IFS(BD100&gt;0.9,0,BD100&lt;0.01,0)</f>
        <v>#N/A</v>
      </c>
      <c r="BN100">
        <v>25.5</v>
      </c>
      <c r="BO100">
        <v>84.75</v>
      </c>
      <c r="BP100">
        <f t="shared" si="34"/>
        <v>10.5</v>
      </c>
      <c r="BQ100">
        <f t="shared" si="35"/>
        <v>6.9896986628862803E-2</v>
      </c>
      <c r="BR100" t="e" cm="1">
        <f t="array" ref="BR100">_xlfn.IFS(BQ100&gt;0.9,0,BQ100&lt;0.01,0)</f>
        <v>#N/A</v>
      </c>
      <c r="CA100">
        <v>25.5</v>
      </c>
      <c r="CB100">
        <v>11.5</v>
      </c>
      <c r="CC100">
        <f t="shared" si="36"/>
        <v>2.25</v>
      </c>
      <c r="CD100">
        <f t="shared" si="37"/>
        <v>3.5949282376701433E-2</v>
      </c>
      <c r="CE100" t="e" cm="1">
        <f t="array" ref="CE100">_xlfn.IFS(CD100&gt;0.9,0,CD100&lt;0.01,0)</f>
        <v>#N/A</v>
      </c>
      <c r="CN100">
        <v>25.5</v>
      </c>
      <c r="CO100">
        <v>95.5</v>
      </c>
      <c r="CP100">
        <f t="shared" si="38"/>
        <v>11.5</v>
      </c>
      <c r="CQ100">
        <f t="shared" si="39"/>
        <v>9.3710187829047012E-3</v>
      </c>
      <c r="CR100" cm="1">
        <f t="array" ref="CR100">_xlfn.IFS(CQ100&gt;0.9,0,CQ100&lt;0.01,0)</f>
        <v>0</v>
      </c>
      <c r="DA100">
        <v>25.5</v>
      </c>
      <c r="DB100">
        <v>94.5</v>
      </c>
      <c r="DC100">
        <f t="shared" si="40"/>
        <v>10.75</v>
      </c>
      <c r="DD100">
        <f t="shared" si="41"/>
        <v>3.8705235375638788E-2</v>
      </c>
      <c r="DE100" t="e" cm="1">
        <f t="array" ref="DE100">_xlfn.IFS(DD100&gt;0.9,0,DD100&lt;0.01,0)</f>
        <v>#N/A</v>
      </c>
      <c r="DN100">
        <v>25.5</v>
      </c>
      <c r="DO100">
        <v>99.5</v>
      </c>
      <c r="DP100">
        <f t="shared" si="42"/>
        <v>12.25</v>
      </c>
      <c r="DQ100">
        <f t="shared" si="43"/>
        <v>3.2416909925266591E-3</v>
      </c>
      <c r="DR100" cm="1">
        <f t="array" ref="DR100">_xlfn.IFS(DQ100&gt;0.9,0,DQ100&lt;0.01,0)</f>
        <v>0</v>
      </c>
    </row>
    <row r="101" spans="1:122" x14ac:dyDescent="0.4">
      <c r="A101">
        <v>25.75</v>
      </c>
      <c r="B101">
        <v>99.75</v>
      </c>
      <c r="C101">
        <f t="shared" si="24"/>
        <v>13.55</v>
      </c>
      <c r="D101">
        <f t="shared" si="25"/>
        <v>9.0722813777418534E-4</v>
      </c>
      <c r="E101" cm="1">
        <f t="array" ref="E101">_xlfn.IFS(D101&gt;0.9,0,D101&lt;0.01,0)</f>
        <v>0</v>
      </c>
      <c r="N101">
        <v>25.75</v>
      </c>
      <c r="O101">
        <v>25.5</v>
      </c>
      <c r="P101">
        <f t="shared" si="26"/>
        <v>3.75</v>
      </c>
      <c r="Q101">
        <f t="shared" si="27"/>
        <v>0.19117006852577961</v>
      </c>
      <c r="R101" t="e" cm="1">
        <f t="array" ref="R101">_xlfn.IFS(Q101&gt;0.9,0,Q101&lt;0.01,0)</f>
        <v>#N/A</v>
      </c>
      <c r="AA101">
        <v>24.75</v>
      </c>
      <c r="AB101">
        <v>24.75</v>
      </c>
      <c r="AC101">
        <f t="shared" si="28"/>
        <v>11.75</v>
      </c>
      <c r="AD101">
        <f t="shared" si="29"/>
        <v>6.7010012659684676E-2</v>
      </c>
      <c r="AE101" t="e" cm="1">
        <f t="array" ref="AE101">_xlfn.IFS(AD101&gt;0.9,0,AD101&lt;0.01,0)</f>
        <v>#N/A</v>
      </c>
      <c r="AN101">
        <v>25.75</v>
      </c>
      <c r="AO101">
        <v>28.5</v>
      </c>
      <c r="AP101">
        <f t="shared" si="30"/>
        <v>16.25</v>
      </c>
      <c r="AQ101">
        <f t="shared" si="31"/>
        <v>2.0436661795645732E-2</v>
      </c>
      <c r="AR101" t="e" cm="1">
        <f t="array" ref="AR101">_xlfn.IFS(AQ101&gt;0.9,0,AQ101&lt;0.01,0)</f>
        <v>#N/A</v>
      </c>
      <c r="BA101">
        <v>25.75</v>
      </c>
      <c r="BB101">
        <v>20.75</v>
      </c>
      <c r="BC101">
        <f t="shared" si="32"/>
        <v>8</v>
      </c>
      <c r="BD101">
        <f t="shared" si="33"/>
        <v>0.14872445120349065</v>
      </c>
      <c r="BE101" t="e" cm="1">
        <f t="array" ref="BE101">_xlfn.IFS(BD101&gt;0.9,0,BD101&lt;0.01,0)</f>
        <v>#N/A</v>
      </c>
      <c r="BN101">
        <v>25.75</v>
      </c>
      <c r="BO101">
        <v>85</v>
      </c>
      <c r="BP101">
        <f t="shared" si="34"/>
        <v>10.75</v>
      </c>
      <c r="BQ101">
        <f t="shared" si="35"/>
        <v>6.692164192776931E-2</v>
      </c>
      <c r="BR101" t="e" cm="1">
        <f t="array" ref="BR101">_xlfn.IFS(BQ101&gt;0.9,0,BQ101&lt;0.01,0)</f>
        <v>#N/A</v>
      </c>
      <c r="CA101">
        <v>25.75</v>
      </c>
      <c r="CB101">
        <v>12</v>
      </c>
      <c r="CC101">
        <f t="shared" si="36"/>
        <v>2.5</v>
      </c>
      <c r="CD101">
        <f t="shared" si="37"/>
        <v>4.1905376498285109E-2</v>
      </c>
      <c r="CE101" t="e" cm="1">
        <f t="array" ref="CE101">_xlfn.IFS(CD101&gt;0.9,0,CD101&lt;0.01,0)</f>
        <v>#N/A</v>
      </c>
      <c r="CN101">
        <v>25.75</v>
      </c>
      <c r="CO101">
        <v>95.5</v>
      </c>
      <c r="CP101">
        <f t="shared" si="38"/>
        <v>11.75</v>
      </c>
      <c r="CQ101">
        <f t="shared" si="39"/>
        <v>9.3710187829047012E-3</v>
      </c>
      <c r="CR101" cm="1">
        <f t="array" ref="CR101">_xlfn.IFS(CQ101&gt;0.9,0,CQ101&lt;0.01,0)</f>
        <v>0</v>
      </c>
      <c r="DA101">
        <v>25.75</v>
      </c>
      <c r="DB101">
        <v>94.75</v>
      </c>
      <c r="DC101">
        <f t="shared" si="40"/>
        <v>11</v>
      </c>
      <c r="DD101">
        <f t="shared" si="41"/>
        <v>3.5892909159921188E-2</v>
      </c>
      <c r="DE101" t="e" cm="1">
        <f t="array" ref="DE101">_xlfn.IFS(DD101&gt;0.9,0,DD101&lt;0.01,0)</f>
        <v>#N/A</v>
      </c>
      <c r="DN101">
        <v>25.75</v>
      </c>
      <c r="DO101">
        <v>99.5</v>
      </c>
      <c r="DP101">
        <f t="shared" si="42"/>
        <v>12.5</v>
      </c>
      <c r="DQ101">
        <f t="shared" si="43"/>
        <v>3.2416909925266591E-3</v>
      </c>
      <c r="DR101" cm="1">
        <f t="array" ref="DR101">_xlfn.IFS(DQ101&gt;0.9,0,DQ101&lt;0.01,0)</f>
        <v>0</v>
      </c>
    </row>
    <row r="102" spans="1:122" x14ac:dyDescent="0.4">
      <c r="A102">
        <v>26</v>
      </c>
      <c r="B102">
        <v>99.75</v>
      </c>
      <c r="C102">
        <f t="shared" si="24"/>
        <v>13.8</v>
      </c>
      <c r="D102">
        <f t="shared" si="25"/>
        <v>9.0722813777418534E-4</v>
      </c>
      <c r="E102" cm="1">
        <f t="array" ref="E102">_xlfn.IFS(D102&gt;0.9,0,D102&lt;0.01,0)</f>
        <v>0</v>
      </c>
      <c r="N102">
        <v>26</v>
      </c>
      <c r="O102">
        <v>24.75</v>
      </c>
      <c r="P102">
        <f t="shared" si="26"/>
        <v>4</v>
      </c>
      <c r="Q102">
        <f t="shared" si="27"/>
        <v>0.18323720180292424</v>
      </c>
      <c r="R102" t="e" cm="1">
        <f t="array" ref="R102">_xlfn.IFS(Q102&gt;0.9,0,Q102&lt;0.01,0)</f>
        <v>#N/A</v>
      </c>
      <c r="AA102">
        <v>25</v>
      </c>
      <c r="AB102">
        <v>24.75</v>
      </c>
      <c r="AC102">
        <f t="shared" si="28"/>
        <v>12</v>
      </c>
      <c r="AD102">
        <f t="shared" si="29"/>
        <v>6.7010012659684676E-2</v>
      </c>
      <c r="AE102" t="e" cm="1">
        <f t="array" ref="AE102">_xlfn.IFS(AD102&gt;0.9,0,AD102&lt;0.01,0)</f>
        <v>#N/A</v>
      </c>
      <c r="AN102">
        <v>26</v>
      </c>
      <c r="AO102">
        <v>28.5</v>
      </c>
      <c r="AP102">
        <f t="shared" si="30"/>
        <v>16.5</v>
      </c>
      <c r="AQ102">
        <f t="shared" si="31"/>
        <v>2.0436661795645732E-2</v>
      </c>
      <c r="AR102" t="e" cm="1">
        <f t="array" ref="AR102">_xlfn.IFS(AQ102&gt;0.9,0,AQ102&lt;0.01,0)</f>
        <v>#N/A</v>
      </c>
      <c r="BA102">
        <v>26</v>
      </c>
      <c r="BB102">
        <v>20.25</v>
      </c>
      <c r="BC102">
        <f t="shared" si="32"/>
        <v>8.25</v>
      </c>
      <c r="BD102">
        <f t="shared" si="33"/>
        <v>0.14334397617701622</v>
      </c>
      <c r="BE102" t="e" cm="1">
        <f t="array" ref="BE102">_xlfn.IFS(BD102&gt;0.9,0,BD102&lt;0.01,0)</f>
        <v>#N/A</v>
      </c>
      <c r="BN102">
        <v>26</v>
      </c>
      <c r="BO102">
        <v>85.25</v>
      </c>
      <c r="BP102">
        <f t="shared" si="34"/>
        <v>11</v>
      </c>
      <c r="BQ102">
        <f t="shared" si="35"/>
        <v>6.394629722667583E-2</v>
      </c>
      <c r="BR102" t="e" cm="1">
        <f t="array" ref="BR102">_xlfn.IFS(BQ102&gt;0.9,0,BQ102&lt;0.01,0)</f>
        <v>#N/A</v>
      </c>
      <c r="CA102">
        <v>26</v>
      </c>
      <c r="CB102">
        <v>12.5</v>
      </c>
      <c r="CC102">
        <f t="shared" si="36"/>
        <v>2.75</v>
      </c>
      <c r="CD102">
        <f t="shared" si="37"/>
        <v>4.7861470619868778E-2</v>
      </c>
      <c r="CE102" t="e" cm="1">
        <f t="array" ref="CE102">_xlfn.IFS(CD102&gt;0.9,0,CD102&lt;0.01,0)</f>
        <v>#N/A</v>
      </c>
      <c r="CN102">
        <v>26</v>
      </c>
      <c r="CO102">
        <v>95.5</v>
      </c>
      <c r="CP102">
        <f t="shared" si="38"/>
        <v>12</v>
      </c>
      <c r="CQ102">
        <f t="shared" si="39"/>
        <v>9.3710187829047012E-3</v>
      </c>
      <c r="CR102" cm="1">
        <f t="array" ref="CR102">_xlfn.IFS(CQ102&gt;0.9,0,CQ102&lt;0.01,0)</f>
        <v>0</v>
      </c>
      <c r="DA102">
        <v>26</v>
      </c>
      <c r="DB102">
        <v>94.75</v>
      </c>
      <c r="DC102">
        <f t="shared" si="40"/>
        <v>11.25</v>
      </c>
      <c r="DD102">
        <f t="shared" si="41"/>
        <v>3.5892909159921188E-2</v>
      </c>
      <c r="DE102" t="e" cm="1">
        <f t="array" ref="DE102">_xlfn.IFS(DD102&gt;0.9,0,DD102&lt;0.01,0)</f>
        <v>#N/A</v>
      </c>
      <c r="DN102">
        <v>26</v>
      </c>
      <c r="DO102">
        <v>99.5</v>
      </c>
      <c r="DP102">
        <f t="shared" si="42"/>
        <v>12.75</v>
      </c>
      <c r="DQ102">
        <f t="shared" si="43"/>
        <v>3.2416909925266591E-3</v>
      </c>
      <c r="DR102" cm="1">
        <f t="array" ref="DR102">_xlfn.IFS(DQ102&gt;0.9,0,DQ102&lt;0.01,0)</f>
        <v>0</v>
      </c>
    </row>
    <row r="103" spans="1:122" x14ac:dyDescent="0.4">
      <c r="A103">
        <v>26.25</v>
      </c>
      <c r="B103">
        <v>99.75</v>
      </c>
      <c r="C103">
        <f t="shared" si="24"/>
        <v>14.05</v>
      </c>
      <c r="D103">
        <f t="shared" si="25"/>
        <v>9.0722813777418534E-4</v>
      </c>
      <c r="E103" cm="1">
        <f t="array" ref="E103">_xlfn.IFS(D103&gt;0.9,0,D103&lt;0.01,0)</f>
        <v>0</v>
      </c>
      <c r="N103">
        <v>26.25</v>
      </c>
      <c r="O103">
        <v>23.75</v>
      </c>
      <c r="P103">
        <f t="shared" si="26"/>
        <v>4.25</v>
      </c>
      <c r="Q103">
        <f t="shared" si="27"/>
        <v>0.17266004617245043</v>
      </c>
      <c r="R103" t="e" cm="1">
        <f t="array" ref="R103">_xlfn.IFS(Q103&gt;0.9,0,Q103&lt;0.01,0)</f>
        <v>#N/A</v>
      </c>
      <c r="AA103">
        <v>25.25</v>
      </c>
      <c r="AB103">
        <v>24.75</v>
      </c>
      <c r="AC103">
        <f t="shared" si="28"/>
        <v>12.25</v>
      </c>
      <c r="AD103">
        <f t="shared" si="29"/>
        <v>6.7010012659684676E-2</v>
      </c>
      <c r="AE103" t="e" cm="1">
        <f t="array" ref="AE103">_xlfn.IFS(AD103&gt;0.9,0,AD103&lt;0.01,0)</f>
        <v>#N/A</v>
      </c>
      <c r="AN103">
        <v>26.25</v>
      </c>
      <c r="AO103">
        <v>28.25</v>
      </c>
      <c r="AP103">
        <f t="shared" si="30"/>
        <v>16.75</v>
      </c>
      <c r="AQ103">
        <f t="shared" si="31"/>
        <v>1.7084616739217063E-2</v>
      </c>
      <c r="AR103" t="e" cm="1">
        <f t="array" ref="AR103">_xlfn.IFS(AQ103&gt;0.9,0,AQ103&lt;0.01,0)</f>
        <v>#N/A</v>
      </c>
      <c r="BA103">
        <v>26.25</v>
      </c>
      <c r="BB103">
        <v>19.75</v>
      </c>
      <c r="BC103">
        <f t="shared" si="32"/>
        <v>8.5</v>
      </c>
      <c r="BD103">
        <f t="shared" si="33"/>
        <v>0.13796350115054182</v>
      </c>
      <c r="BE103" t="e" cm="1">
        <f t="array" ref="BE103">_xlfn.IFS(BD103&gt;0.9,0,BD103&lt;0.01,0)</f>
        <v>#N/A</v>
      </c>
      <c r="BN103">
        <v>26.25</v>
      </c>
      <c r="BO103">
        <v>85.25</v>
      </c>
      <c r="BP103">
        <f t="shared" si="34"/>
        <v>11.25</v>
      </c>
      <c r="BQ103">
        <f t="shared" si="35"/>
        <v>6.394629722667583E-2</v>
      </c>
      <c r="BR103" t="e" cm="1">
        <f t="array" ref="BR103">_xlfn.IFS(BQ103&gt;0.9,0,BQ103&lt;0.01,0)</f>
        <v>#N/A</v>
      </c>
      <c r="CA103">
        <v>26.25</v>
      </c>
      <c r="CB103">
        <v>12.75</v>
      </c>
      <c r="CC103">
        <f t="shared" si="36"/>
        <v>3</v>
      </c>
      <c r="CD103">
        <f t="shared" si="37"/>
        <v>5.0839517680660612E-2</v>
      </c>
      <c r="CE103" t="e" cm="1">
        <f t="array" ref="CE103">_xlfn.IFS(CD103&gt;0.9,0,CD103&lt;0.01,0)</f>
        <v>#N/A</v>
      </c>
      <c r="CN103">
        <v>26.25</v>
      </c>
      <c r="CO103">
        <v>95.5</v>
      </c>
      <c r="CP103">
        <f t="shared" si="38"/>
        <v>12.25</v>
      </c>
      <c r="CQ103">
        <f t="shared" si="39"/>
        <v>9.3710187829047012E-3</v>
      </c>
      <c r="CR103" cm="1">
        <f t="array" ref="CR103">_xlfn.IFS(CQ103&gt;0.9,0,CQ103&lt;0.01,0)</f>
        <v>0</v>
      </c>
      <c r="DA103">
        <v>26.25</v>
      </c>
      <c r="DB103">
        <v>95.25</v>
      </c>
      <c r="DC103">
        <f t="shared" si="40"/>
        <v>11.5</v>
      </c>
      <c r="DD103">
        <f t="shared" si="41"/>
        <v>3.0268256728485984E-2</v>
      </c>
      <c r="DE103" t="e" cm="1">
        <f t="array" ref="DE103">_xlfn.IFS(DD103&gt;0.9,0,DD103&lt;0.01,0)</f>
        <v>#N/A</v>
      </c>
      <c r="DN103">
        <v>26.25</v>
      </c>
      <c r="DO103">
        <v>99.5</v>
      </c>
      <c r="DP103">
        <f t="shared" si="42"/>
        <v>13</v>
      </c>
      <c r="DQ103">
        <f t="shared" si="43"/>
        <v>3.2416909925266591E-3</v>
      </c>
      <c r="DR103" cm="1">
        <f t="array" ref="DR103">_xlfn.IFS(DQ103&gt;0.9,0,DQ103&lt;0.01,0)</f>
        <v>0</v>
      </c>
    </row>
    <row r="104" spans="1:122" x14ac:dyDescent="0.4">
      <c r="A104">
        <v>26.5</v>
      </c>
      <c r="B104">
        <v>99.75</v>
      </c>
      <c r="C104">
        <f t="shared" si="24"/>
        <v>14.3</v>
      </c>
      <c r="D104">
        <f t="shared" si="25"/>
        <v>9.0722813777418534E-4</v>
      </c>
      <c r="E104" cm="1">
        <f t="array" ref="E104">_xlfn.IFS(D104&gt;0.9,0,D104&lt;0.01,0)</f>
        <v>0</v>
      </c>
      <c r="N104">
        <v>26.5</v>
      </c>
      <c r="O104">
        <v>23</v>
      </c>
      <c r="P104">
        <f t="shared" si="26"/>
        <v>4.5</v>
      </c>
      <c r="Q104">
        <f t="shared" si="27"/>
        <v>0.16472717944959508</v>
      </c>
      <c r="R104" t="e" cm="1">
        <f t="array" ref="R104">_xlfn.IFS(Q104&gt;0.9,0,Q104&lt;0.01,0)</f>
        <v>#N/A</v>
      </c>
      <c r="AA104">
        <v>25.5</v>
      </c>
      <c r="AB104">
        <v>25</v>
      </c>
      <c r="AC104">
        <f t="shared" si="28"/>
        <v>12.5</v>
      </c>
      <c r="AD104">
        <f t="shared" si="29"/>
        <v>5.3803659799746828E-2</v>
      </c>
      <c r="AE104" t="e" cm="1">
        <f t="array" ref="AE104">_xlfn.IFS(AD104&gt;0.9,0,AD104&lt;0.01,0)</f>
        <v>#N/A</v>
      </c>
      <c r="AN104">
        <v>26.5</v>
      </c>
      <c r="AO104">
        <v>28.25</v>
      </c>
      <c r="AP104">
        <f t="shared" si="30"/>
        <v>17</v>
      </c>
      <c r="AQ104">
        <f t="shared" si="31"/>
        <v>1.7084616739217063E-2</v>
      </c>
      <c r="AR104" t="e" cm="1">
        <f t="array" ref="AR104">_xlfn.IFS(AQ104&gt;0.9,0,AQ104&lt;0.01,0)</f>
        <v>#N/A</v>
      </c>
      <c r="BA104">
        <v>26.5</v>
      </c>
      <c r="BB104">
        <v>19.5</v>
      </c>
      <c r="BC104">
        <f t="shared" si="32"/>
        <v>8.75</v>
      </c>
      <c r="BD104">
        <f t="shared" si="33"/>
        <v>0.13527326363730463</v>
      </c>
      <c r="BE104" t="e" cm="1">
        <f t="array" ref="BE104">_xlfn.IFS(BD104&gt;0.9,0,BD104&lt;0.01,0)</f>
        <v>#N/A</v>
      </c>
      <c r="BN104">
        <v>26.5</v>
      </c>
      <c r="BO104">
        <v>85.5</v>
      </c>
      <c r="BP104">
        <f t="shared" si="34"/>
        <v>11.5</v>
      </c>
      <c r="BQ104">
        <f t="shared" si="35"/>
        <v>6.0970952525582343E-2</v>
      </c>
      <c r="BR104" t="e" cm="1">
        <f t="array" ref="BR104">_xlfn.IFS(BQ104&gt;0.9,0,BQ104&lt;0.01,0)</f>
        <v>#N/A</v>
      </c>
      <c r="CA104">
        <v>26.5</v>
      </c>
      <c r="CB104">
        <v>13</v>
      </c>
      <c r="CC104">
        <f t="shared" si="36"/>
        <v>3.25</v>
      </c>
      <c r="CD104">
        <f t="shared" si="37"/>
        <v>5.3817564741452446E-2</v>
      </c>
      <c r="CE104" t="e" cm="1">
        <f t="array" ref="CE104">_xlfn.IFS(CD104&gt;0.9,0,CD104&lt;0.01,0)</f>
        <v>#N/A</v>
      </c>
      <c r="CN104">
        <v>26.5</v>
      </c>
      <c r="CO104">
        <v>96</v>
      </c>
      <c r="CP104">
        <f t="shared" si="38"/>
        <v>12.5</v>
      </c>
      <c r="CQ104">
        <f t="shared" si="39"/>
        <v>3.8059769118281707E-3</v>
      </c>
      <c r="CR104" cm="1">
        <f t="array" ref="CR104">_xlfn.IFS(CQ104&gt;0.9,0,CQ104&lt;0.01,0)</f>
        <v>0</v>
      </c>
      <c r="DA104">
        <v>26.5</v>
      </c>
      <c r="DB104">
        <v>95.25</v>
      </c>
      <c r="DC104">
        <f t="shared" si="40"/>
        <v>11.75</v>
      </c>
      <c r="DD104">
        <f t="shared" si="41"/>
        <v>3.0268256728485984E-2</v>
      </c>
      <c r="DE104" t="e" cm="1">
        <f t="array" ref="DE104">_xlfn.IFS(DD104&gt;0.9,0,DD104&lt;0.01,0)</f>
        <v>#N/A</v>
      </c>
      <c r="DN104">
        <v>26.5</v>
      </c>
      <c r="DO104">
        <v>99.25</v>
      </c>
      <c r="DP104">
        <f t="shared" si="42"/>
        <v>13.25</v>
      </c>
      <c r="DQ104">
        <f t="shared" si="43"/>
        <v>5.8982962937192849E-3</v>
      </c>
      <c r="DR104" cm="1">
        <f t="array" ref="DR104">_xlfn.IFS(DQ104&gt;0.9,0,DQ104&lt;0.01,0)</f>
        <v>0</v>
      </c>
    </row>
    <row r="105" spans="1:122" x14ac:dyDescent="0.4">
      <c r="A105">
        <v>26.75</v>
      </c>
      <c r="B105">
        <v>100</v>
      </c>
      <c r="C105">
        <f t="shared" si="24"/>
        <v>14.55</v>
      </c>
      <c r="D105">
        <f t="shared" si="25"/>
        <v>-1.7189585768350943E-3</v>
      </c>
      <c r="E105" cm="1">
        <f t="array" ref="E105">_xlfn.IFS(D105&gt;0.9,0,D105&lt;0.01,0)</f>
        <v>0</v>
      </c>
      <c r="N105">
        <v>26.75</v>
      </c>
      <c r="O105">
        <v>22</v>
      </c>
      <c r="P105">
        <f t="shared" si="26"/>
        <v>4.75</v>
      </c>
      <c r="Q105">
        <f t="shared" si="27"/>
        <v>0.15415002381912127</v>
      </c>
      <c r="R105" t="e" cm="1">
        <f t="array" ref="R105">_xlfn.IFS(Q105&gt;0.9,0,Q105&lt;0.01,0)</f>
        <v>#N/A</v>
      </c>
      <c r="AA105">
        <v>25.75</v>
      </c>
      <c r="AB105">
        <v>25</v>
      </c>
      <c r="AC105">
        <f t="shared" si="28"/>
        <v>12.75</v>
      </c>
      <c r="AD105">
        <f t="shared" si="29"/>
        <v>5.3803659799746828E-2</v>
      </c>
      <c r="AE105" t="e" cm="1">
        <f t="array" ref="AE105">_xlfn.IFS(AD105&gt;0.9,0,AD105&lt;0.01,0)</f>
        <v>#N/A</v>
      </c>
      <c r="AN105">
        <v>26.75</v>
      </c>
      <c r="AO105">
        <v>28.25</v>
      </c>
      <c r="AP105">
        <f t="shared" si="30"/>
        <v>17.25</v>
      </c>
      <c r="AQ105">
        <f t="shared" si="31"/>
        <v>1.7084616739217063E-2</v>
      </c>
      <c r="AR105" t="e" cm="1">
        <f t="array" ref="AR105">_xlfn.IFS(AQ105&gt;0.9,0,AQ105&lt;0.01,0)</f>
        <v>#N/A</v>
      </c>
      <c r="BA105">
        <v>26.75</v>
      </c>
      <c r="BB105">
        <v>18.75</v>
      </c>
      <c r="BC105">
        <f t="shared" si="32"/>
        <v>9</v>
      </c>
      <c r="BD105">
        <f t="shared" si="33"/>
        <v>0.12720255109759301</v>
      </c>
      <c r="BE105" t="e" cm="1">
        <f t="array" ref="BE105">_xlfn.IFS(BD105&gt;0.9,0,BD105&lt;0.01,0)</f>
        <v>#N/A</v>
      </c>
      <c r="BN105">
        <v>26.75</v>
      </c>
      <c r="BO105">
        <v>85.75</v>
      </c>
      <c r="BP105">
        <f t="shared" si="34"/>
        <v>11.75</v>
      </c>
      <c r="BQ105">
        <f t="shared" si="35"/>
        <v>5.7995607824488864E-2</v>
      </c>
      <c r="BR105" t="e" cm="1">
        <f t="array" ref="BR105">_xlfn.IFS(BQ105&gt;0.9,0,BQ105&lt;0.01,0)</f>
        <v>#N/A</v>
      </c>
      <c r="CA105">
        <v>26.75</v>
      </c>
      <c r="CB105">
        <v>13</v>
      </c>
      <c r="CC105">
        <f t="shared" si="36"/>
        <v>3.5</v>
      </c>
      <c r="CD105">
        <f t="shared" si="37"/>
        <v>5.3817564741452446E-2</v>
      </c>
      <c r="CE105" t="e" cm="1">
        <f t="array" ref="CE105">_xlfn.IFS(CD105&gt;0.9,0,CD105&lt;0.01,0)</f>
        <v>#N/A</v>
      </c>
      <c r="CN105">
        <v>26.75</v>
      </c>
      <c r="CO105">
        <v>95.75</v>
      </c>
      <c r="CP105">
        <f t="shared" si="38"/>
        <v>12.75</v>
      </c>
      <c r="CQ105">
        <f t="shared" si="39"/>
        <v>6.5884978473664353E-3</v>
      </c>
      <c r="CR105" cm="1">
        <f t="array" ref="CR105">_xlfn.IFS(CQ105&gt;0.9,0,CQ105&lt;0.01,0)</f>
        <v>0</v>
      </c>
      <c r="DA105">
        <v>26.75</v>
      </c>
      <c r="DB105">
        <v>95.75</v>
      </c>
      <c r="DC105">
        <f t="shared" si="40"/>
        <v>12</v>
      </c>
      <c r="DD105">
        <f t="shared" si="41"/>
        <v>2.4643604297050779E-2</v>
      </c>
      <c r="DE105" t="e" cm="1">
        <f t="array" ref="DE105">_xlfn.IFS(DD105&gt;0.9,0,DD105&lt;0.01,0)</f>
        <v>#N/A</v>
      </c>
      <c r="DN105">
        <v>26.75</v>
      </c>
      <c r="DO105">
        <v>99.5</v>
      </c>
      <c r="DP105">
        <f t="shared" si="42"/>
        <v>13.5</v>
      </c>
      <c r="DQ105">
        <f t="shared" si="43"/>
        <v>3.2416909925266591E-3</v>
      </c>
      <c r="DR105" cm="1">
        <f t="array" ref="DR105">_xlfn.IFS(DQ105&gt;0.9,0,DQ105&lt;0.01,0)</f>
        <v>0</v>
      </c>
    </row>
    <row r="106" spans="1:122" x14ac:dyDescent="0.4">
      <c r="A106">
        <v>27</v>
      </c>
      <c r="B106">
        <v>99.75</v>
      </c>
      <c r="C106">
        <f t="shared" si="24"/>
        <v>14.8</v>
      </c>
      <c r="D106">
        <f t="shared" si="25"/>
        <v>9.0722813777418534E-4</v>
      </c>
      <c r="E106" cm="1">
        <f t="array" ref="E106">_xlfn.IFS(D106&gt;0.9,0,D106&lt;0.01,0)</f>
        <v>0</v>
      </c>
      <c r="N106">
        <v>27</v>
      </c>
      <c r="O106">
        <v>21.5</v>
      </c>
      <c r="P106">
        <f t="shared" si="26"/>
        <v>5</v>
      </c>
      <c r="Q106">
        <f t="shared" si="27"/>
        <v>0.14886144600388435</v>
      </c>
      <c r="R106" t="e" cm="1">
        <f t="array" ref="R106">_xlfn.IFS(Q106&gt;0.9,0,Q106&lt;0.01,0)</f>
        <v>#N/A</v>
      </c>
      <c r="AA106">
        <v>26</v>
      </c>
      <c r="AB106">
        <v>25</v>
      </c>
      <c r="AC106">
        <f t="shared" si="28"/>
        <v>13</v>
      </c>
      <c r="AD106">
        <f t="shared" si="29"/>
        <v>5.3803659799746828E-2</v>
      </c>
      <c r="AE106" t="e" cm="1">
        <f t="array" ref="AE106">_xlfn.IFS(AD106&gt;0.9,0,AD106&lt;0.01,0)</f>
        <v>#N/A</v>
      </c>
      <c r="AN106">
        <v>27.001000000000001</v>
      </c>
      <c r="AO106">
        <v>28.25</v>
      </c>
      <c r="AP106">
        <f t="shared" si="30"/>
        <v>17.501000000000001</v>
      </c>
      <c r="AQ106">
        <f t="shared" si="31"/>
        <v>1.7084616739217063E-2</v>
      </c>
      <c r="AR106" t="e" cm="1">
        <f t="array" ref="AR106">_xlfn.IFS(AQ106&gt;0.9,0,AQ106&lt;0.01,0)</f>
        <v>#N/A</v>
      </c>
      <c r="BA106">
        <v>27</v>
      </c>
      <c r="BB106">
        <v>18.5</v>
      </c>
      <c r="BC106">
        <f t="shared" si="32"/>
        <v>9.25</v>
      </c>
      <c r="BD106">
        <f t="shared" si="33"/>
        <v>0.12451231358435581</v>
      </c>
      <c r="BE106" t="e" cm="1">
        <f t="array" ref="BE106">_xlfn.IFS(BD106&gt;0.9,0,BD106&lt;0.01,0)</f>
        <v>#N/A</v>
      </c>
      <c r="BN106">
        <v>27</v>
      </c>
      <c r="BO106">
        <v>86</v>
      </c>
      <c r="BP106">
        <f t="shared" si="34"/>
        <v>12</v>
      </c>
      <c r="BQ106">
        <f t="shared" si="35"/>
        <v>5.5020263123395377E-2</v>
      </c>
      <c r="BR106" t="e" cm="1">
        <f t="array" ref="BR106">_xlfn.IFS(BQ106&gt;0.9,0,BQ106&lt;0.01,0)</f>
        <v>#N/A</v>
      </c>
      <c r="CA106">
        <v>27</v>
      </c>
      <c r="CB106">
        <v>13.25</v>
      </c>
      <c r="CC106">
        <f t="shared" si="36"/>
        <v>3.75</v>
      </c>
      <c r="CD106">
        <f t="shared" si="37"/>
        <v>5.6795611802244288E-2</v>
      </c>
      <c r="CE106" t="e" cm="1">
        <f t="array" ref="CE106">_xlfn.IFS(CD106&gt;0.9,0,CD106&lt;0.01,0)</f>
        <v>#N/A</v>
      </c>
      <c r="CN106">
        <v>27</v>
      </c>
      <c r="CO106">
        <v>95.75</v>
      </c>
      <c r="CP106">
        <f t="shared" si="38"/>
        <v>13</v>
      </c>
      <c r="CQ106">
        <f t="shared" si="39"/>
        <v>6.5884978473664353E-3</v>
      </c>
      <c r="CR106" cm="1">
        <f t="array" ref="CR106">_xlfn.IFS(CQ106&gt;0.9,0,CQ106&lt;0.01,0)</f>
        <v>0</v>
      </c>
      <c r="DA106">
        <v>27</v>
      </c>
      <c r="DB106">
        <v>95.75</v>
      </c>
      <c r="DC106">
        <f t="shared" si="40"/>
        <v>12.25</v>
      </c>
      <c r="DD106">
        <f t="shared" si="41"/>
        <v>2.4643604297050779E-2</v>
      </c>
      <c r="DE106" t="e" cm="1">
        <f t="array" ref="DE106">_xlfn.IFS(DD106&gt;0.9,0,DD106&lt;0.01,0)</f>
        <v>#N/A</v>
      </c>
      <c r="DN106">
        <v>27</v>
      </c>
      <c r="DO106">
        <v>99.5</v>
      </c>
      <c r="DP106">
        <f t="shared" si="42"/>
        <v>13.75</v>
      </c>
      <c r="DQ106">
        <f t="shared" si="43"/>
        <v>3.2416909925266591E-3</v>
      </c>
      <c r="DR106" cm="1">
        <f t="array" ref="DR106">_xlfn.IFS(DQ106&gt;0.9,0,DQ106&lt;0.01,0)</f>
        <v>0</v>
      </c>
    </row>
    <row r="107" spans="1:122" x14ac:dyDescent="0.4">
      <c r="A107">
        <v>27.25</v>
      </c>
      <c r="B107">
        <v>99.75</v>
      </c>
      <c r="C107">
        <f t="shared" si="24"/>
        <v>15.05</v>
      </c>
      <c r="D107">
        <f t="shared" si="25"/>
        <v>9.0722813777418534E-4</v>
      </c>
      <c r="E107" cm="1">
        <f t="array" ref="E107">_xlfn.IFS(D107&gt;0.9,0,D107&lt;0.01,0)</f>
        <v>0</v>
      </c>
      <c r="N107">
        <v>27.25</v>
      </c>
      <c r="O107">
        <v>21</v>
      </c>
      <c r="P107">
        <f t="shared" si="26"/>
        <v>5.25</v>
      </c>
      <c r="Q107">
        <f t="shared" si="27"/>
        <v>0.14357286818864745</v>
      </c>
      <c r="R107" t="e" cm="1">
        <f t="array" ref="R107">_xlfn.IFS(Q107&gt;0.9,0,Q107&lt;0.01,0)</f>
        <v>#N/A</v>
      </c>
      <c r="AA107">
        <v>26.25</v>
      </c>
      <c r="AB107">
        <v>25</v>
      </c>
      <c r="AC107">
        <f t="shared" si="28"/>
        <v>13.25</v>
      </c>
      <c r="AD107">
        <f t="shared" si="29"/>
        <v>5.3803659799746828E-2</v>
      </c>
      <c r="AE107" t="e" cm="1">
        <f t="array" ref="AE107">_xlfn.IFS(AD107&gt;0.9,0,AD107&lt;0.01,0)</f>
        <v>#N/A</v>
      </c>
      <c r="AN107">
        <v>27.25</v>
      </c>
      <c r="AO107">
        <v>28.25</v>
      </c>
      <c r="AP107">
        <f t="shared" si="30"/>
        <v>17.75</v>
      </c>
      <c r="AQ107">
        <f t="shared" si="31"/>
        <v>1.7084616739217063E-2</v>
      </c>
      <c r="AR107" t="e" cm="1">
        <f t="array" ref="AR107">_xlfn.IFS(AQ107&gt;0.9,0,AQ107&lt;0.01,0)</f>
        <v>#N/A</v>
      </c>
      <c r="BA107">
        <v>27.25</v>
      </c>
      <c r="BB107">
        <v>18.25</v>
      </c>
      <c r="BC107">
        <f t="shared" si="32"/>
        <v>9.5</v>
      </c>
      <c r="BD107">
        <f t="shared" si="33"/>
        <v>0.12182207607111861</v>
      </c>
      <c r="BE107" t="e" cm="1">
        <f t="array" ref="BE107">_xlfn.IFS(BD107&gt;0.9,0,BD107&lt;0.01,0)</f>
        <v>#N/A</v>
      </c>
      <c r="BN107">
        <v>27.25</v>
      </c>
      <c r="BO107">
        <v>86.25</v>
      </c>
      <c r="BP107">
        <f t="shared" si="34"/>
        <v>12.25</v>
      </c>
      <c r="BQ107">
        <f t="shared" si="35"/>
        <v>5.2044918422301897E-2</v>
      </c>
      <c r="BR107" t="e" cm="1">
        <f t="array" ref="BR107">_xlfn.IFS(BQ107&gt;0.9,0,BQ107&lt;0.01,0)</f>
        <v>#N/A</v>
      </c>
      <c r="CA107">
        <v>27.25</v>
      </c>
      <c r="CB107">
        <v>13.25</v>
      </c>
      <c r="CC107">
        <f t="shared" si="36"/>
        <v>4</v>
      </c>
      <c r="CD107">
        <f t="shared" si="37"/>
        <v>5.6795611802244288E-2</v>
      </c>
      <c r="CE107" t="e" cm="1">
        <f t="array" ref="CE107">_xlfn.IFS(CD107&gt;0.9,0,CD107&lt;0.01,0)</f>
        <v>#N/A</v>
      </c>
      <c r="CN107">
        <v>27.25</v>
      </c>
      <c r="CO107">
        <v>96</v>
      </c>
      <c r="CP107">
        <f t="shared" si="38"/>
        <v>13.25</v>
      </c>
      <c r="CQ107">
        <f t="shared" si="39"/>
        <v>3.8059769118281707E-3</v>
      </c>
      <c r="CR107" cm="1">
        <f t="array" ref="CR107">_xlfn.IFS(CQ107&gt;0.9,0,CQ107&lt;0.01,0)</f>
        <v>0</v>
      </c>
      <c r="DA107">
        <v>27.25</v>
      </c>
      <c r="DB107">
        <v>96</v>
      </c>
      <c r="DC107">
        <f t="shared" si="40"/>
        <v>12.5</v>
      </c>
      <c r="DD107">
        <f t="shared" si="41"/>
        <v>2.1831278081333179E-2</v>
      </c>
      <c r="DE107" t="e" cm="1">
        <f t="array" ref="DE107">_xlfn.IFS(DD107&gt;0.9,0,DD107&lt;0.01,0)</f>
        <v>#N/A</v>
      </c>
      <c r="DN107">
        <v>27.25</v>
      </c>
      <c r="DO107">
        <v>99.5</v>
      </c>
      <c r="DP107">
        <f t="shared" si="42"/>
        <v>14</v>
      </c>
      <c r="DQ107">
        <f t="shared" si="43"/>
        <v>3.2416909925266591E-3</v>
      </c>
      <c r="DR107" cm="1">
        <f t="array" ref="DR107">_xlfn.IFS(DQ107&gt;0.9,0,DQ107&lt;0.01,0)</f>
        <v>0</v>
      </c>
    </row>
    <row r="108" spans="1:122" x14ac:dyDescent="0.4">
      <c r="A108">
        <v>27.5</v>
      </c>
      <c r="B108">
        <v>99.75</v>
      </c>
      <c r="C108">
        <f t="shared" si="24"/>
        <v>15.3</v>
      </c>
      <c r="D108">
        <f t="shared" si="25"/>
        <v>9.0722813777418534E-4</v>
      </c>
      <c r="E108" cm="1">
        <f t="array" ref="E108">_xlfn.IFS(D108&gt;0.9,0,D108&lt;0.01,0)</f>
        <v>0</v>
      </c>
      <c r="N108">
        <v>27.5</v>
      </c>
      <c r="O108">
        <v>20.25</v>
      </c>
      <c r="P108">
        <f t="shared" si="26"/>
        <v>5.5</v>
      </c>
      <c r="Q108">
        <f t="shared" si="27"/>
        <v>0.13564000146579208</v>
      </c>
      <c r="R108" t="e" cm="1">
        <f t="array" ref="R108">_xlfn.IFS(Q108&gt;0.9,0,Q108&lt;0.01,0)</f>
        <v>#N/A</v>
      </c>
      <c r="AA108">
        <v>26.5</v>
      </c>
      <c r="AB108">
        <v>25</v>
      </c>
      <c r="AC108">
        <f t="shared" si="28"/>
        <v>13.5</v>
      </c>
      <c r="AD108">
        <f t="shared" si="29"/>
        <v>5.3803659799746828E-2</v>
      </c>
      <c r="AE108" t="e" cm="1">
        <f t="array" ref="AE108">_xlfn.IFS(AD108&gt;0.9,0,AD108&lt;0.01,0)</f>
        <v>#N/A</v>
      </c>
      <c r="AN108">
        <v>27.5</v>
      </c>
      <c r="AO108">
        <v>28.25</v>
      </c>
      <c r="AP108">
        <f t="shared" si="30"/>
        <v>18</v>
      </c>
      <c r="AQ108">
        <f t="shared" si="31"/>
        <v>1.7084616739217063E-2</v>
      </c>
      <c r="AR108" t="e" cm="1">
        <f t="array" ref="AR108">_xlfn.IFS(AQ108&gt;0.9,0,AQ108&lt;0.01,0)</f>
        <v>#N/A</v>
      </c>
      <c r="BA108">
        <v>27.501000000000001</v>
      </c>
      <c r="BB108">
        <v>17.75</v>
      </c>
      <c r="BC108">
        <f t="shared" si="32"/>
        <v>9.7510000000000012</v>
      </c>
      <c r="BD108">
        <f t="shared" si="33"/>
        <v>0.1164416010446442</v>
      </c>
      <c r="BE108" t="e" cm="1">
        <f t="array" ref="BE108">_xlfn.IFS(BD108&gt;0.9,0,BD108&lt;0.01,0)</f>
        <v>#N/A</v>
      </c>
      <c r="BN108">
        <v>27.5</v>
      </c>
      <c r="BO108">
        <v>86.25</v>
      </c>
      <c r="BP108">
        <f t="shared" si="34"/>
        <v>12.5</v>
      </c>
      <c r="BQ108">
        <f t="shared" si="35"/>
        <v>5.2044918422301897E-2</v>
      </c>
      <c r="BR108" t="e" cm="1">
        <f t="array" ref="BR108">_xlfn.IFS(BQ108&gt;0.9,0,BQ108&lt;0.01,0)</f>
        <v>#N/A</v>
      </c>
      <c r="CA108">
        <v>27.5</v>
      </c>
      <c r="CB108">
        <v>13.25</v>
      </c>
      <c r="CC108">
        <f t="shared" si="36"/>
        <v>4.25</v>
      </c>
      <c r="CD108">
        <f t="shared" si="37"/>
        <v>5.6795611802244288E-2</v>
      </c>
      <c r="CE108" t="e" cm="1">
        <f t="array" ref="CE108">_xlfn.IFS(CD108&gt;0.9,0,CD108&lt;0.01,0)</f>
        <v>#N/A</v>
      </c>
      <c r="CN108">
        <v>27.5</v>
      </c>
      <c r="CO108">
        <v>96</v>
      </c>
      <c r="CP108">
        <f t="shared" si="38"/>
        <v>13.5</v>
      </c>
      <c r="CQ108">
        <f t="shared" si="39"/>
        <v>3.8059769118281707E-3</v>
      </c>
      <c r="CR108" cm="1">
        <f t="array" ref="CR108">_xlfn.IFS(CQ108&gt;0.9,0,CQ108&lt;0.01,0)</f>
        <v>0</v>
      </c>
      <c r="DA108">
        <v>27.5</v>
      </c>
      <c r="DB108">
        <v>96.25</v>
      </c>
      <c r="DC108">
        <f t="shared" si="40"/>
        <v>12.75</v>
      </c>
      <c r="DD108">
        <f t="shared" si="41"/>
        <v>1.9018951865615575E-2</v>
      </c>
      <c r="DE108" t="e" cm="1">
        <f t="array" ref="DE108">_xlfn.IFS(DD108&gt;0.9,0,DD108&lt;0.01,0)</f>
        <v>#N/A</v>
      </c>
      <c r="DN108">
        <v>27.5</v>
      </c>
      <c r="DO108">
        <v>99.5</v>
      </c>
      <c r="DP108">
        <f t="shared" si="42"/>
        <v>14.25</v>
      </c>
      <c r="DQ108">
        <f t="shared" si="43"/>
        <v>3.2416909925266591E-3</v>
      </c>
      <c r="DR108" cm="1">
        <f t="array" ref="DR108">_xlfn.IFS(DQ108&gt;0.9,0,DQ108&lt;0.01,0)</f>
        <v>0</v>
      </c>
    </row>
    <row r="109" spans="1:122" x14ac:dyDescent="0.4">
      <c r="A109">
        <v>27.75</v>
      </c>
      <c r="B109">
        <v>99.75</v>
      </c>
      <c r="C109">
        <f t="shared" si="24"/>
        <v>15.55</v>
      </c>
      <c r="D109">
        <f t="shared" si="25"/>
        <v>9.0722813777418534E-4</v>
      </c>
      <c r="E109" cm="1">
        <f t="array" ref="E109">_xlfn.IFS(D109&gt;0.9,0,D109&lt;0.01,0)</f>
        <v>0</v>
      </c>
      <c r="N109">
        <v>27.75</v>
      </c>
      <c r="O109">
        <v>20</v>
      </c>
      <c r="P109">
        <f t="shared" si="26"/>
        <v>5.75</v>
      </c>
      <c r="Q109">
        <f t="shared" si="27"/>
        <v>0.13299571255817363</v>
      </c>
      <c r="R109" t="e" cm="1">
        <f t="array" ref="R109">_xlfn.IFS(Q109&gt;0.9,0,Q109&lt;0.01,0)</f>
        <v>#N/A</v>
      </c>
      <c r="AA109">
        <v>26.75</v>
      </c>
      <c r="AB109">
        <v>25</v>
      </c>
      <c r="AC109">
        <f t="shared" si="28"/>
        <v>13.75</v>
      </c>
      <c r="AD109">
        <f t="shared" si="29"/>
        <v>5.3803659799746828E-2</v>
      </c>
      <c r="AE109" t="e" cm="1">
        <f t="array" ref="AE109">_xlfn.IFS(AD109&gt;0.9,0,AD109&lt;0.01,0)</f>
        <v>#N/A</v>
      </c>
      <c r="AN109">
        <v>27.75</v>
      </c>
      <c r="AO109">
        <v>28</v>
      </c>
      <c r="AP109">
        <f t="shared" si="30"/>
        <v>18.25</v>
      </c>
      <c r="AQ109">
        <f t="shared" si="31"/>
        <v>1.3732571682788398E-2</v>
      </c>
      <c r="AR109" t="e" cm="1">
        <f t="array" ref="AR109">_xlfn.IFS(AQ109&gt;0.9,0,AQ109&lt;0.01,0)</f>
        <v>#N/A</v>
      </c>
      <c r="BA109">
        <v>27.75</v>
      </c>
      <c r="BB109">
        <v>17.25</v>
      </c>
      <c r="BC109">
        <f t="shared" si="32"/>
        <v>10</v>
      </c>
      <c r="BD109">
        <f t="shared" si="33"/>
        <v>0.1110611260181698</v>
      </c>
      <c r="BE109" t="e" cm="1">
        <f t="array" ref="BE109">_xlfn.IFS(BD109&gt;0.9,0,BD109&lt;0.01,0)</f>
        <v>#N/A</v>
      </c>
      <c r="BN109">
        <v>27.75</v>
      </c>
      <c r="BO109">
        <v>86.5</v>
      </c>
      <c r="BP109">
        <f t="shared" si="34"/>
        <v>12.75</v>
      </c>
      <c r="BQ109">
        <f t="shared" si="35"/>
        <v>4.9069573721208411E-2</v>
      </c>
      <c r="BR109" t="e" cm="1">
        <f t="array" ref="BR109">_xlfn.IFS(BQ109&gt;0.9,0,BQ109&lt;0.01,0)</f>
        <v>#N/A</v>
      </c>
      <c r="CA109">
        <v>27.75</v>
      </c>
      <c r="CB109">
        <v>13.25</v>
      </c>
      <c r="CC109">
        <f t="shared" si="36"/>
        <v>4.5</v>
      </c>
      <c r="CD109">
        <f t="shared" si="37"/>
        <v>5.6795611802244288E-2</v>
      </c>
      <c r="CE109" t="e" cm="1">
        <f t="array" ref="CE109">_xlfn.IFS(CD109&gt;0.9,0,CD109&lt;0.01,0)</f>
        <v>#N/A</v>
      </c>
      <c r="CN109">
        <v>27.75</v>
      </c>
      <c r="CO109">
        <v>96</v>
      </c>
      <c r="CP109">
        <f t="shared" si="38"/>
        <v>13.75</v>
      </c>
      <c r="CQ109">
        <f t="shared" si="39"/>
        <v>3.8059769118281707E-3</v>
      </c>
      <c r="CR109" cm="1">
        <f t="array" ref="CR109">_xlfn.IFS(CQ109&gt;0.9,0,CQ109&lt;0.01,0)</f>
        <v>0</v>
      </c>
      <c r="DA109">
        <v>27.75</v>
      </c>
      <c r="DB109">
        <v>96.25</v>
      </c>
      <c r="DC109">
        <f t="shared" si="40"/>
        <v>13</v>
      </c>
      <c r="DD109">
        <f t="shared" si="41"/>
        <v>1.9018951865615575E-2</v>
      </c>
      <c r="DE109" t="e" cm="1">
        <f t="array" ref="DE109">_xlfn.IFS(DD109&gt;0.9,0,DD109&lt;0.01,0)</f>
        <v>#N/A</v>
      </c>
      <c r="DN109">
        <v>27.75</v>
      </c>
      <c r="DO109">
        <v>99.5</v>
      </c>
      <c r="DP109">
        <f t="shared" si="42"/>
        <v>14.5</v>
      </c>
      <c r="DQ109">
        <f t="shared" si="43"/>
        <v>3.2416909925266591E-3</v>
      </c>
      <c r="DR109" cm="1">
        <f t="array" ref="DR109">_xlfn.IFS(DQ109&gt;0.9,0,DQ109&lt;0.01,0)</f>
        <v>0</v>
      </c>
    </row>
    <row r="110" spans="1:122" x14ac:dyDescent="0.4">
      <c r="A110">
        <v>28</v>
      </c>
      <c r="B110">
        <v>99.75</v>
      </c>
      <c r="C110">
        <f t="shared" si="24"/>
        <v>15.8</v>
      </c>
      <c r="D110">
        <f t="shared" si="25"/>
        <v>9.0722813777418534E-4</v>
      </c>
      <c r="E110" cm="1">
        <f t="array" ref="E110">_xlfn.IFS(D110&gt;0.9,0,D110&lt;0.01,0)</f>
        <v>0</v>
      </c>
      <c r="N110">
        <v>28</v>
      </c>
      <c r="O110">
        <v>19.5</v>
      </c>
      <c r="P110">
        <f t="shared" si="26"/>
        <v>6</v>
      </c>
      <c r="Q110">
        <f t="shared" si="27"/>
        <v>0.12770713474293671</v>
      </c>
      <c r="R110" t="e" cm="1">
        <f t="array" ref="R110">_xlfn.IFS(Q110&gt;0.9,0,Q110&lt;0.01,0)</f>
        <v>#N/A</v>
      </c>
      <c r="AA110">
        <v>27</v>
      </c>
      <c r="AB110">
        <v>25</v>
      </c>
      <c r="AC110">
        <f t="shared" si="28"/>
        <v>14</v>
      </c>
      <c r="AD110">
        <f t="shared" si="29"/>
        <v>5.3803659799746828E-2</v>
      </c>
      <c r="AE110" t="e" cm="1">
        <f t="array" ref="AE110">_xlfn.IFS(AD110&gt;0.9,0,AD110&lt;0.01,0)</f>
        <v>#N/A</v>
      </c>
      <c r="AN110">
        <v>28</v>
      </c>
      <c r="AO110">
        <v>28</v>
      </c>
      <c r="AP110">
        <f t="shared" si="30"/>
        <v>18.5</v>
      </c>
      <c r="AQ110">
        <f t="shared" si="31"/>
        <v>1.3732571682788398E-2</v>
      </c>
      <c r="AR110" t="e" cm="1">
        <f t="array" ref="AR110">_xlfn.IFS(AQ110&gt;0.9,0,AQ110&lt;0.01,0)</f>
        <v>#N/A</v>
      </c>
      <c r="BA110">
        <v>28</v>
      </c>
      <c r="BB110">
        <v>17</v>
      </c>
      <c r="BC110">
        <f t="shared" si="32"/>
        <v>10.25</v>
      </c>
      <c r="BD110">
        <f t="shared" si="33"/>
        <v>0.10837088850493259</v>
      </c>
      <c r="BE110" t="e" cm="1">
        <f t="array" ref="BE110">_xlfn.IFS(BD110&gt;0.9,0,BD110&lt;0.01,0)</f>
        <v>#N/A</v>
      </c>
      <c r="BN110">
        <v>28</v>
      </c>
      <c r="BO110">
        <v>86.5</v>
      </c>
      <c r="BP110">
        <f t="shared" si="34"/>
        <v>13</v>
      </c>
      <c r="BQ110">
        <f t="shared" si="35"/>
        <v>4.9069573721208411E-2</v>
      </c>
      <c r="BR110" t="e" cm="1">
        <f t="array" ref="BR110">_xlfn.IFS(BQ110&gt;0.9,0,BQ110&lt;0.01,0)</f>
        <v>#N/A</v>
      </c>
      <c r="CA110">
        <v>28</v>
      </c>
      <c r="CB110">
        <v>13.25</v>
      </c>
      <c r="CC110">
        <f t="shared" si="36"/>
        <v>4.75</v>
      </c>
      <c r="CD110">
        <f t="shared" si="37"/>
        <v>5.6795611802244288E-2</v>
      </c>
      <c r="CE110" t="e" cm="1">
        <f t="array" ref="CE110">_xlfn.IFS(CD110&gt;0.9,0,CD110&lt;0.01,0)</f>
        <v>#N/A</v>
      </c>
      <c r="CN110">
        <v>28</v>
      </c>
      <c r="CO110">
        <v>96</v>
      </c>
      <c r="CP110">
        <f t="shared" si="38"/>
        <v>14</v>
      </c>
      <c r="CQ110">
        <f t="shared" si="39"/>
        <v>3.8059769118281707E-3</v>
      </c>
      <c r="CR110" cm="1">
        <f t="array" ref="CR110">_xlfn.IFS(CQ110&gt;0.9,0,CQ110&lt;0.01,0)</f>
        <v>0</v>
      </c>
      <c r="DA110">
        <v>28</v>
      </c>
      <c r="DB110">
        <v>96.5</v>
      </c>
      <c r="DC110">
        <f t="shared" si="40"/>
        <v>13.25</v>
      </c>
      <c r="DD110">
        <f t="shared" si="41"/>
        <v>1.6206625649897975E-2</v>
      </c>
      <c r="DE110" t="e" cm="1">
        <f t="array" ref="DE110">_xlfn.IFS(DD110&gt;0.9,0,DD110&lt;0.01,0)</f>
        <v>#N/A</v>
      </c>
      <c r="DN110">
        <v>28</v>
      </c>
      <c r="DO110">
        <v>99.5</v>
      </c>
      <c r="DP110">
        <f t="shared" si="42"/>
        <v>14.75</v>
      </c>
      <c r="DQ110">
        <f t="shared" si="43"/>
        <v>3.2416909925266591E-3</v>
      </c>
      <c r="DR110" cm="1">
        <f t="array" ref="DR110">_xlfn.IFS(DQ110&gt;0.9,0,DQ110&lt;0.01,0)</f>
        <v>0</v>
      </c>
    </row>
    <row r="111" spans="1:122" x14ac:dyDescent="0.4">
      <c r="A111">
        <v>28.25</v>
      </c>
      <c r="B111">
        <v>99.75</v>
      </c>
      <c r="C111">
        <f t="shared" si="24"/>
        <v>16.05</v>
      </c>
      <c r="D111">
        <f t="shared" si="25"/>
        <v>9.0722813777418534E-4</v>
      </c>
      <c r="E111" cm="1">
        <f t="array" ref="E111">_xlfn.IFS(D111&gt;0.9,0,D111&lt;0.01,0)</f>
        <v>0</v>
      </c>
      <c r="N111">
        <v>28.25</v>
      </c>
      <c r="O111">
        <v>19</v>
      </c>
      <c r="P111">
        <f t="shared" si="26"/>
        <v>6.25</v>
      </c>
      <c r="Q111">
        <f t="shared" si="27"/>
        <v>0.1224185569276998</v>
      </c>
      <c r="R111" t="e" cm="1">
        <f t="array" ref="R111">_xlfn.IFS(Q111&gt;0.9,0,Q111&lt;0.01,0)</f>
        <v>#N/A</v>
      </c>
      <c r="AA111">
        <v>27.25</v>
      </c>
      <c r="AB111">
        <v>25</v>
      </c>
      <c r="AC111">
        <f t="shared" si="28"/>
        <v>14.25</v>
      </c>
      <c r="AD111">
        <f t="shared" si="29"/>
        <v>5.3803659799746828E-2</v>
      </c>
      <c r="AE111" t="e" cm="1">
        <f t="array" ref="AE111">_xlfn.IFS(AD111&gt;0.9,0,AD111&lt;0.01,0)</f>
        <v>#N/A</v>
      </c>
      <c r="AN111">
        <v>28.25</v>
      </c>
      <c r="AO111">
        <v>28</v>
      </c>
      <c r="AP111">
        <f t="shared" si="30"/>
        <v>18.75</v>
      </c>
      <c r="AQ111">
        <f t="shared" si="31"/>
        <v>1.3732571682788398E-2</v>
      </c>
      <c r="AR111" t="e" cm="1">
        <f t="array" ref="AR111">_xlfn.IFS(AQ111&gt;0.9,0,AQ111&lt;0.01,0)</f>
        <v>#N/A</v>
      </c>
      <c r="BA111">
        <v>28.25</v>
      </c>
      <c r="BB111">
        <v>16.75</v>
      </c>
      <c r="BC111">
        <f t="shared" si="32"/>
        <v>10.5</v>
      </c>
      <c r="BD111">
        <f t="shared" si="33"/>
        <v>0.10568065099169539</v>
      </c>
      <c r="BE111" t="e" cm="1">
        <f t="array" ref="BE111">_xlfn.IFS(BD111&gt;0.9,0,BD111&lt;0.01,0)</f>
        <v>#N/A</v>
      </c>
      <c r="BN111">
        <v>28.25</v>
      </c>
      <c r="BO111">
        <v>86.75</v>
      </c>
      <c r="BP111">
        <f t="shared" si="34"/>
        <v>13.25</v>
      </c>
      <c r="BQ111">
        <f t="shared" si="35"/>
        <v>4.6094229020114931E-2</v>
      </c>
      <c r="BR111" t="e" cm="1">
        <f t="array" ref="BR111">_xlfn.IFS(BQ111&gt;0.9,0,BQ111&lt;0.01,0)</f>
        <v>#N/A</v>
      </c>
      <c r="CA111">
        <v>28.25</v>
      </c>
      <c r="CB111">
        <v>13.25</v>
      </c>
      <c r="CC111">
        <f t="shared" si="36"/>
        <v>5</v>
      </c>
      <c r="CD111">
        <f t="shared" si="37"/>
        <v>5.6795611802244288E-2</v>
      </c>
      <c r="CE111" t="e" cm="1">
        <f t="array" ref="CE111">_xlfn.IFS(CD111&gt;0.9,0,CD111&lt;0.01,0)</f>
        <v>#N/A</v>
      </c>
      <c r="CN111">
        <v>28.25</v>
      </c>
      <c r="CO111">
        <v>95.75</v>
      </c>
      <c r="CP111">
        <f t="shared" si="38"/>
        <v>14.25</v>
      </c>
      <c r="CQ111">
        <f t="shared" si="39"/>
        <v>6.5884978473664353E-3</v>
      </c>
      <c r="CR111" cm="1">
        <f t="array" ref="CR111">_xlfn.IFS(CQ111&gt;0.9,0,CQ111&lt;0.01,0)</f>
        <v>0</v>
      </c>
      <c r="DA111">
        <v>28.25</v>
      </c>
      <c r="DB111">
        <v>96.5</v>
      </c>
      <c r="DC111">
        <f t="shared" si="40"/>
        <v>13.5</v>
      </c>
      <c r="DD111">
        <f t="shared" si="41"/>
        <v>1.6206625649897975E-2</v>
      </c>
      <c r="DE111" t="e" cm="1">
        <f t="array" ref="DE111">_xlfn.IFS(DD111&gt;0.9,0,DD111&lt;0.01,0)</f>
        <v>#N/A</v>
      </c>
      <c r="DN111">
        <v>28.25</v>
      </c>
      <c r="DO111">
        <v>99.5</v>
      </c>
      <c r="DP111">
        <f t="shared" si="42"/>
        <v>15</v>
      </c>
      <c r="DQ111">
        <f t="shared" si="43"/>
        <v>3.2416909925266591E-3</v>
      </c>
      <c r="DR111" cm="1">
        <f t="array" ref="DR111">_xlfn.IFS(DQ111&gt;0.9,0,DQ111&lt;0.01,0)</f>
        <v>0</v>
      </c>
    </row>
    <row r="112" spans="1:122" x14ac:dyDescent="0.4">
      <c r="A112">
        <v>28.5</v>
      </c>
      <c r="B112">
        <v>99.75</v>
      </c>
      <c r="C112">
        <f t="shared" si="24"/>
        <v>16.3</v>
      </c>
      <c r="D112">
        <f t="shared" si="25"/>
        <v>9.0722813777418534E-4</v>
      </c>
      <c r="E112" cm="1">
        <f t="array" ref="E112">_xlfn.IFS(D112&gt;0.9,0,D112&lt;0.01,0)</f>
        <v>0</v>
      </c>
      <c r="N112">
        <v>28.5</v>
      </c>
      <c r="O112">
        <v>18.5</v>
      </c>
      <c r="P112">
        <f t="shared" si="26"/>
        <v>6.5</v>
      </c>
      <c r="Q112">
        <f t="shared" si="27"/>
        <v>0.1171299791124629</v>
      </c>
      <c r="R112" t="e" cm="1">
        <f t="array" ref="R112">_xlfn.IFS(Q112&gt;0.9,0,Q112&lt;0.01,0)</f>
        <v>#N/A</v>
      </c>
      <c r="AA112">
        <v>27.5</v>
      </c>
      <c r="AB112">
        <v>25.25</v>
      </c>
      <c r="AC112">
        <f t="shared" si="28"/>
        <v>14.5</v>
      </c>
      <c r="AD112">
        <f t="shared" si="29"/>
        <v>4.0597306939808973E-2</v>
      </c>
      <c r="AE112" t="e" cm="1">
        <f t="array" ref="AE112">_xlfn.IFS(AD112&gt;0.9,0,AD112&lt;0.01,0)</f>
        <v>#N/A</v>
      </c>
      <c r="AN112">
        <v>28.5</v>
      </c>
      <c r="AO112">
        <v>28</v>
      </c>
      <c r="AP112">
        <f t="shared" si="30"/>
        <v>19</v>
      </c>
      <c r="AQ112">
        <f t="shared" si="31"/>
        <v>1.3732571682788398E-2</v>
      </c>
      <c r="AR112" t="e" cm="1">
        <f t="array" ref="AR112">_xlfn.IFS(AQ112&gt;0.9,0,AQ112&lt;0.01,0)</f>
        <v>#N/A</v>
      </c>
      <c r="BA112">
        <v>28.5</v>
      </c>
      <c r="BB112">
        <v>16.25</v>
      </c>
      <c r="BC112">
        <f t="shared" si="32"/>
        <v>10.75</v>
      </c>
      <c r="BD112">
        <f t="shared" si="33"/>
        <v>0.10030017596522099</v>
      </c>
      <c r="BE112" t="e" cm="1">
        <f t="array" ref="BE112">_xlfn.IFS(BD112&gt;0.9,0,BD112&lt;0.01,0)</f>
        <v>#N/A</v>
      </c>
      <c r="BN112">
        <v>28.5</v>
      </c>
      <c r="BO112">
        <v>87</v>
      </c>
      <c r="BP112">
        <f t="shared" si="34"/>
        <v>13.5</v>
      </c>
      <c r="BQ112">
        <f t="shared" si="35"/>
        <v>4.3118884319021444E-2</v>
      </c>
      <c r="BR112" t="e" cm="1">
        <f t="array" ref="BR112">_xlfn.IFS(BQ112&gt;0.9,0,BQ112&lt;0.01,0)</f>
        <v>#N/A</v>
      </c>
      <c r="CA112">
        <v>28.5</v>
      </c>
      <c r="CB112">
        <v>13</v>
      </c>
      <c r="CC112">
        <f t="shared" si="36"/>
        <v>5.25</v>
      </c>
      <c r="CD112">
        <f t="shared" si="37"/>
        <v>5.3817564741452446E-2</v>
      </c>
      <c r="CE112" t="e" cm="1">
        <f t="array" ref="CE112">_xlfn.IFS(CD112&gt;0.9,0,CD112&lt;0.01,0)</f>
        <v>#N/A</v>
      </c>
      <c r="CN112">
        <v>28.5</v>
      </c>
      <c r="CO112">
        <v>95.75</v>
      </c>
      <c r="CP112">
        <f t="shared" si="38"/>
        <v>14.5</v>
      </c>
      <c r="CQ112">
        <f t="shared" si="39"/>
        <v>6.5884978473664353E-3</v>
      </c>
      <c r="CR112" cm="1">
        <f t="array" ref="CR112">_xlfn.IFS(CQ112&gt;0.9,0,CQ112&lt;0.01,0)</f>
        <v>0</v>
      </c>
      <c r="DA112">
        <v>28.5</v>
      </c>
      <c r="DB112">
        <v>96.75</v>
      </c>
      <c r="DC112">
        <f t="shared" si="40"/>
        <v>13.75</v>
      </c>
      <c r="DD112">
        <f t="shared" si="41"/>
        <v>1.3394299434180371E-2</v>
      </c>
      <c r="DE112" t="e" cm="1">
        <f t="array" ref="DE112">_xlfn.IFS(DD112&gt;0.9,0,DD112&lt;0.01,0)</f>
        <v>#N/A</v>
      </c>
      <c r="DN112">
        <v>28.5</v>
      </c>
      <c r="DO112">
        <v>99.5</v>
      </c>
      <c r="DP112">
        <f t="shared" si="42"/>
        <v>15.25</v>
      </c>
      <c r="DQ112">
        <f t="shared" si="43"/>
        <v>3.2416909925266591E-3</v>
      </c>
      <c r="DR112" cm="1">
        <f t="array" ref="DR112">_xlfn.IFS(DQ112&gt;0.9,0,DQ112&lt;0.01,0)</f>
        <v>0</v>
      </c>
    </row>
    <row r="113" spans="1:122" x14ac:dyDescent="0.4">
      <c r="A113">
        <v>28.75</v>
      </c>
      <c r="B113">
        <v>99.75</v>
      </c>
      <c r="C113">
        <f t="shared" si="24"/>
        <v>16.55</v>
      </c>
      <c r="D113">
        <f t="shared" si="25"/>
        <v>9.0722813777418534E-4</v>
      </c>
      <c r="E113" cm="1">
        <f t="array" ref="E113">_xlfn.IFS(D113&gt;0.9,0,D113&lt;0.01,0)</f>
        <v>0</v>
      </c>
      <c r="N113">
        <v>28.75</v>
      </c>
      <c r="O113">
        <v>18.25</v>
      </c>
      <c r="P113">
        <f t="shared" si="26"/>
        <v>6.75</v>
      </c>
      <c r="Q113">
        <f t="shared" si="27"/>
        <v>0.11448569020484445</v>
      </c>
      <c r="R113" t="e" cm="1">
        <f t="array" ref="R113">_xlfn.IFS(Q113&gt;0.9,0,Q113&lt;0.01,0)</f>
        <v>#N/A</v>
      </c>
      <c r="AA113">
        <v>27.75</v>
      </c>
      <c r="AB113">
        <v>25.25</v>
      </c>
      <c r="AC113">
        <f t="shared" si="28"/>
        <v>14.75</v>
      </c>
      <c r="AD113">
        <f t="shared" si="29"/>
        <v>4.0597306939808973E-2</v>
      </c>
      <c r="AE113" t="e" cm="1">
        <f t="array" ref="AE113">_xlfn.IFS(AD113&gt;0.9,0,AD113&lt;0.01,0)</f>
        <v>#N/A</v>
      </c>
      <c r="AN113">
        <v>28.75</v>
      </c>
      <c r="AO113">
        <v>28</v>
      </c>
      <c r="AP113">
        <f t="shared" si="30"/>
        <v>19.25</v>
      </c>
      <c r="AQ113">
        <f t="shared" si="31"/>
        <v>1.3732571682788398E-2</v>
      </c>
      <c r="AR113" t="e" cm="1">
        <f t="array" ref="AR113">_xlfn.IFS(AQ113&gt;0.9,0,AQ113&lt;0.01,0)</f>
        <v>#N/A</v>
      </c>
      <c r="BA113">
        <v>28.75</v>
      </c>
      <c r="BB113">
        <v>16.25</v>
      </c>
      <c r="BC113">
        <f t="shared" si="32"/>
        <v>11</v>
      </c>
      <c r="BD113">
        <f t="shared" si="33"/>
        <v>0.10030017596522099</v>
      </c>
      <c r="BE113" t="e" cm="1">
        <f t="array" ref="BE113">_xlfn.IFS(BD113&gt;0.9,0,BD113&lt;0.01,0)</f>
        <v>#N/A</v>
      </c>
      <c r="BN113">
        <v>28.75</v>
      </c>
      <c r="BO113">
        <v>87</v>
      </c>
      <c r="BP113">
        <f t="shared" si="34"/>
        <v>13.75</v>
      </c>
      <c r="BQ113">
        <f t="shared" si="35"/>
        <v>4.3118884319021444E-2</v>
      </c>
      <c r="BR113" t="e" cm="1">
        <f t="array" ref="BR113">_xlfn.IFS(BQ113&gt;0.9,0,BQ113&lt;0.01,0)</f>
        <v>#N/A</v>
      </c>
      <c r="CA113">
        <v>28.75</v>
      </c>
      <c r="CB113">
        <v>13</v>
      </c>
      <c r="CC113">
        <f t="shared" si="36"/>
        <v>5.5</v>
      </c>
      <c r="CD113">
        <f t="shared" si="37"/>
        <v>5.3817564741452446E-2</v>
      </c>
      <c r="CE113" t="e" cm="1">
        <f t="array" ref="CE113">_xlfn.IFS(CD113&gt;0.9,0,CD113&lt;0.01,0)</f>
        <v>#N/A</v>
      </c>
      <c r="CN113">
        <v>28.75</v>
      </c>
      <c r="CO113">
        <v>95.75</v>
      </c>
      <c r="CP113">
        <f t="shared" si="38"/>
        <v>14.75</v>
      </c>
      <c r="CQ113">
        <f t="shared" si="39"/>
        <v>6.5884978473664353E-3</v>
      </c>
      <c r="CR113" cm="1">
        <f t="array" ref="CR113">_xlfn.IFS(CQ113&gt;0.9,0,CQ113&lt;0.01,0)</f>
        <v>0</v>
      </c>
      <c r="DA113">
        <v>28.75</v>
      </c>
      <c r="DB113">
        <v>96.75</v>
      </c>
      <c r="DC113">
        <f t="shared" si="40"/>
        <v>14</v>
      </c>
      <c r="DD113">
        <f t="shared" si="41"/>
        <v>1.3394299434180371E-2</v>
      </c>
      <c r="DE113" t="e" cm="1">
        <f t="array" ref="DE113">_xlfn.IFS(DD113&gt;0.9,0,DD113&lt;0.01,0)</f>
        <v>#N/A</v>
      </c>
      <c r="DN113">
        <v>28.75</v>
      </c>
      <c r="DO113">
        <v>99.5</v>
      </c>
      <c r="DP113">
        <f t="shared" si="42"/>
        <v>15.5</v>
      </c>
      <c r="DQ113">
        <f t="shared" si="43"/>
        <v>3.2416909925266591E-3</v>
      </c>
      <c r="DR113" cm="1">
        <f t="array" ref="DR113">_xlfn.IFS(DQ113&gt;0.9,0,DQ113&lt;0.01,0)</f>
        <v>0</v>
      </c>
    </row>
    <row r="114" spans="1:122" x14ac:dyDescent="0.4">
      <c r="A114">
        <v>29</v>
      </c>
      <c r="B114">
        <v>99.75</v>
      </c>
      <c r="C114">
        <f t="shared" si="24"/>
        <v>16.8</v>
      </c>
      <c r="D114">
        <f t="shared" si="25"/>
        <v>9.0722813777418534E-4</v>
      </c>
      <c r="E114" cm="1">
        <f t="array" ref="E114">_xlfn.IFS(D114&gt;0.9,0,D114&lt;0.01,0)</f>
        <v>0</v>
      </c>
      <c r="N114">
        <v>29</v>
      </c>
      <c r="O114">
        <v>17.75</v>
      </c>
      <c r="P114">
        <f t="shared" si="26"/>
        <v>7</v>
      </c>
      <c r="Q114">
        <f t="shared" si="27"/>
        <v>0.10919711238960754</v>
      </c>
      <c r="R114" t="e" cm="1">
        <f t="array" ref="R114">_xlfn.IFS(Q114&gt;0.9,0,Q114&lt;0.01,0)</f>
        <v>#N/A</v>
      </c>
      <c r="AA114">
        <v>28</v>
      </c>
      <c r="AB114">
        <v>25.25</v>
      </c>
      <c r="AC114">
        <f t="shared" si="28"/>
        <v>15</v>
      </c>
      <c r="AD114">
        <f t="shared" si="29"/>
        <v>4.0597306939808973E-2</v>
      </c>
      <c r="AE114" t="e" cm="1">
        <f t="array" ref="AE114">_xlfn.IFS(AD114&gt;0.9,0,AD114&lt;0.01,0)</f>
        <v>#N/A</v>
      </c>
      <c r="AN114">
        <v>29</v>
      </c>
      <c r="AO114">
        <v>28</v>
      </c>
      <c r="AP114">
        <f t="shared" si="30"/>
        <v>19.5</v>
      </c>
      <c r="AQ114">
        <f t="shared" si="31"/>
        <v>1.3732571682788398E-2</v>
      </c>
      <c r="AR114" t="e" cm="1">
        <f t="array" ref="AR114">_xlfn.IFS(AQ114&gt;0.9,0,AQ114&lt;0.01,0)</f>
        <v>#N/A</v>
      </c>
      <c r="BA114">
        <v>29</v>
      </c>
      <c r="BB114">
        <v>15.75</v>
      </c>
      <c r="BC114">
        <f t="shared" si="32"/>
        <v>11.25</v>
      </c>
      <c r="BD114">
        <f t="shared" si="33"/>
        <v>9.4919700938746576E-2</v>
      </c>
      <c r="BE114" t="e" cm="1">
        <f t="array" ref="BE114">_xlfn.IFS(BD114&gt;0.9,0,BD114&lt;0.01,0)</f>
        <v>#N/A</v>
      </c>
      <c r="BN114">
        <v>29</v>
      </c>
      <c r="BO114">
        <v>87.25</v>
      </c>
      <c r="BP114">
        <f t="shared" si="34"/>
        <v>14</v>
      </c>
      <c r="BQ114">
        <f t="shared" si="35"/>
        <v>4.0143539617927958E-2</v>
      </c>
      <c r="BR114" t="e" cm="1">
        <f t="array" ref="BR114">_xlfn.IFS(BQ114&gt;0.9,0,BQ114&lt;0.01,0)</f>
        <v>#N/A</v>
      </c>
      <c r="CA114">
        <v>29</v>
      </c>
      <c r="CB114">
        <v>13</v>
      </c>
      <c r="CC114">
        <f t="shared" si="36"/>
        <v>5.75</v>
      </c>
      <c r="CD114">
        <f t="shared" si="37"/>
        <v>5.3817564741452446E-2</v>
      </c>
      <c r="CE114" t="e" cm="1">
        <f t="array" ref="CE114">_xlfn.IFS(CD114&gt;0.9,0,CD114&lt;0.01,0)</f>
        <v>#N/A</v>
      </c>
      <c r="CN114">
        <v>29</v>
      </c>
      <c r="CO114">
        <v>96</v>
      </c>
      <c r="CP114">
        <f t="shared" si="38"/>
        <v>15</v>
      </c>
      <c r="CQ114">
        <f t="shared" si="39"/>
        <v>3.8059769118281707E-3</v>
      </c>
      <c r="CR114" cm="1">
        <f t="array" ref="CR114">_xlfn.IFS(CQ114&gt;0.9,0,CQ114&lt;0.01,0)</f>
        <v>0</v>
      </c>
      <c r="DA114">
        <v>29</v>
      </c>
      <c r="DB114">
        <v>96.75</v>
      </c>
      <c r="DC114">
        <f t="shared" si="40"/>
        <v>14.25</v>
      </c>
      <c r="DD114">
        <f t="shared" si="41"/>
        <v>1.3394299434180371E-2</v>
      </c>
      <c r="DE114" t="e" cm="1">
        <f t="array" ref="DE114">_xlfn.IFS(DD114&gt;0.9,0,DD114&lt;0.01,0)</f>
        <v>#N/A</v>
      </c>
      <c r="DN114">
        <v>29</v>
      </c>
      <c r="DO114">
        <v>99.5</v>
      </c>
      <c r="DP114">
        <f t="shared" si="42"/>
        <v>15.75</v>
      </c>
      <c r="DQ114">
        <f t="shared" si="43"/>
        <v>3.2416909925266591E-3</v>
      </c>
      <c r="DR114" cm="1">
        <f t="array" ref="DR114">_xlfn.IFS(DQ114&gt;0.9,0,DQ114&lt;0.01,0)</f>
        <v>0</v>
      </c>
    </row>
    <row r="115" spans="1:122" x14ac:dyDescent="0.4">
      <c r="A115">
        <v>29.25</v>
      </c>
      <c r="B115">
        <v>99.75</v>
      </c>
      <c r="C115">
        <f t="shared" si="24"/>
        <v>17.05</v>
      </c>
      <c r="D115">
        <f t="shared" si="25"/>
        <v>9.0722813777418534E-4</v>
      </c>
      <c r="E115" cm="1">
        <f t="array" ref="E115">_xlfn.IFS(D115&gt;0.9,0,D115&lt;0.01,0)</f>
        <v>0</v>
      </c>
      <c r="N115">
        <v>29.25</v>
      </c>
      <c r="O115">
        <v>17.5</v>
      </c>
      <c r="P115">
        <f t="shared" si="26"/>
        <v>7.25</v>
      </c>
      <c r="Q115">
        <f t="shared" si="27"/>
        <v>0.10655282348198908</v>
      </c>
      <c r="R115" t="e" cm="1">
        <f t="array" ref="R115">_xlfn.IFS(Q115&gt;0.9,0,Q115&lt;0.01,0)</f>
        <v>#N/A</v>
      </c>
      <c r="AA115">
        <v>28.25</v>
      </c>
      <c r="AB115">
        <v>25.25</v>
      </c>
      <c r="AC115">
        <f t="shared" si="28"/>
        <v>15.25</v>
      </c>
      <c r="AD115">
        <f t="shared" si="29"/>
        <v>4.0597306939808973E-2</v>
      </c>
      <c r="AE115" t="e" cm="1">
        <f t="array" ref="AE115">_xlfn.IFS(AD115&gt;0.9,0,AD115&lt;0.01,0)</f>
        <v>#N/A</v>
      </c>
      <c r="AN115">
        <v>29.25</v>
      </c>
      <c r="AO115">
        <v>27.75</v>
      </c>
      <c r="AP115">
        <f t="shared" si="30"/>
        <v>19.75</v>
      </c>
      <c r="AQ115">
        <f t="shared" si="31"/>
        <v>1.0380526626359732E-2</v>
      </c>
      <c r="AR115" t="e" cm="1">
        <f t="array" ref="AR115">_xlfn.IFS(AQ115&gt;0.9,0,AQ115&lt;0.01,0)</f>
        <v>#N/A</v>
      </c>
      <c r="BA115">
        <v>29.25</v>
      </c>
      <c r="BB115">
        <v>15.5</v>
      </c>
      <c r="BC115">
        <f t="shared" si="32"/>
        <v>11.5</v>
      </c>
      <c r="BD115">
        <f t="shared" si="33"/>
        <v>9.2229463425509375E-2</v>
      </c>
      <c r="BE115" t="e" cm="1">
        <f t="array" ref="BE115">_xlfn.IFS(BD115&gt;0.9,0,BD115&lt;0.01,0)</f>
        <v>#N/A</v>
      </c>
      <c r="BN115">
        <v>29.25</v>
      </c>
      <c r="BO115">
        <v>87.25</v>
      </c>
      <c r="BP115">
        <f t="shared" si="34"/>
        <v>14.25</v>
      </c>
      <c r="BQ115">
        <f t="shared" si="35"/>
        <v>4.0143539617927958E-2</v>
      </c>
      <c r="BR115" t="e" cm="1">
        <f t="array" ref="BR115">_xlfn.IFS(BQ115&gt;0.9,0,BQ115&lt;0.01,0)</f>
        <v>#N/A</v>
      </c>
      <c r="CA115">
        <v>29.25</v>
      </c>
      <c r="CB115">
        <v>13</v>
      </c>
      <c r="CC115">
        <f t="shared" si="36"/>
        <v>6</v>
      </c>
      <c r="CD115">
        <f t="shared" si="37"/>
        <v>5.3817564741452446E-2</v>
      </c>
      <c r="CE115" t="e" cm="1">
        <f t="array" ref="CE115">_xlfn.IFS(CD115&gt;0.9,0,CD115&lt;0.01,0)</f>
        <v>#N/A</v>
      </c>
      <c r="CN115">
        <v>29.25</v>
      </c>
      <c r="CO115">
        <v>96</v>
      </c>
      <c r="CP115">
        <f t="shared" si="38"/>
        <v>15.25</v>
      </c>
      <c r="CQ115">
        <f t="shared" si="39"/>
        <v>3.8059769118281707E-3</v>
      </c>
      <c r="CR115" cm="1">
        <f t="array" ref="CR115">_xlfn.IFS(CQ115&gt;0.9,0,CQ115&lt;0.01,0)</f>
        <v>0</v>
      </c>
      <c r="DA115">
        <v>29.25</v>
      </c>
      <c r="DB115">
        <v>97</v>
      </c>
      <c r="DC115">
        <f t="shared" si="40"/>
        <v>14.5</v>
      </c>
      <c r="DD115">
        <f t="shared" si="41"/>
        <v>1.0581973218462768E-2</v>
      </c>
      <c r="DE115" t="e" cm="1">
        <f t="array" ref="DE115">_xlfn.IFS(DD115&gt;0.9,0,DD115&lt;0.01,0)</f>
        <v>#N/A</v>
      </c>
      <c r="DN115">
        <v>29.25</v>
      </c>
      <c r="DO115">
        <v>99.5</v>
      </c>
      <c r="DP115">
        <f t="shared" si="42"/>
        <v>16</v>
      </c>
      <c r="DQ115">
        <f t="shared" si="43"/>
        <v>3.2416909925266591E-3</v>
      </c>
      <c r="DR115" cm="1">
        <f t="array" ref="DR115">_xlfn.IFS(DQ115&gt;0.9,0,DQ115&lt;0.01,0)</f>
        <v>0</v>
      </c>
    </row>
    <row r="116" spans="1:122" x14ac:dyDescent="0.4">
      <c r="A116">
        <v>29.5</v>
      </c>
      <c r="B116">
        <v>99.75</v>
      </c>
      <c r="C116">
        <f t="shared" si="24"/>
        <v>17.3</v>
      </c>
      <c r="D116">
        <f t="shared" si="25"/>
        <v>9.0722813777418534E-4</v>
      </c>
      <c r="E116" cm="1">
        <f t="array" ref="E116">_xlfn.IFS(D116&gt;0.9,0,D116&lt;0.01,0)</f>
        <v>0</v>
      </c>
      <c r="N116">
        <v>29.5</v>
      </c>
      <c r="O116">
        <v>17</v>
      </c>
      <c r="P116">
        <f t="shared" si="26"/>
        <v>7.5</v>
      </c>
      <c r="Q116">
        <f t="shared" si="27"/>
        <v>0.10126424566675217</v>
      </c>
      <c r="R116" t="e" cm="1">
        <f t="array" ref="R116">_xlfn.IFS(Q116&gt;0.9,0,Q116&lt;0.01,0)</f>
        <v>#N/A</v>
      </c>
      <c r="AA116">
        <v>28.5</v>
      </c>
      <c r="AB116">
        <v>25.25</v>
      </c>
      <c r="AC116">
        <f t="shared" si="28"/>
        <v>15.5</v>
      </c>
      <c r="AD116">
        <f t="shared" si="29"/>
        <v>4.0597306939808973E-2</v>
      </c>
      <c r="AE116" t="e" cm="1">
        <f t="array" ref="AE116">_xlfn.IFS(AD116&gt;0.9,0,AD116&lt;0.01,0)</f>
        <v>#N/A</v>
      </c>
      <c r="AN116">
        <v>29.5</v>
      </c>
      <c r="AO116">
        <v>27.75</v>
      </c>
      <c r="AP116">
        <f t="shared" si="30"/>
        <v>20</v>
      </c>
      <c r="AQ116">
        <f t="shared" si="31"/>
        <v>1.0380526626359732E-2</v>
      </c>
      <c r="AR116" t="e" cm="1">
        <f t="array" ref="AR116">_xlfn.IFS(AQ116&gt;0.9,0,AQ116&lt;0.01,0)</f>
        <v>#N/A</v>
      </c>
      <c r="BA116">
        <v>29.5</v>
      </c>
      <c r="BB116">
        <v>15.25</v>
      </c>
      <c r="BC116">
        <f t="shared" si="32"/>
        <v>11.75</v>
      </c>
      <c r="BD116">
        <f t="shared" si="33"/>
        <v>8.9539225912272175E-2</v>
      </c>
      <c r="BE116" t="e" cm="1">
        <f t="array" ref="BE116">_xlfn.IFS(BD116&gt;0.9,0,BD116&lt;0.01,0)</f>
        <v>#N/A</v>
      </c>
      <c r="BN116">
        <v>29.5</v>
      </c>
      <c r="BO116">
        <v>87.5</v>
      </c>
      <c r="BP116">
        <f t="shared" si="34"/>
        <v>14.5</v>
      </c>
      <c r="BQ116">
        <f t="shared" si="35"/>
        <v>3.7168194916834478E-2</v>
      </c>
      <c r="BR116" t="e" cm="1">
        <f t="array" ref="BR116">_xlfn.IFS(BQ116&gt;0.9,0,BQ116&lt;0.01,0)</f>
        <v>#N/A</v>
      </c>
      <c r="CA116">
        <v>29.5</v>
      </c>
      <c r="CB116">
        <v>12.75</v>
      </c>
      <c r="CC116">
        <f t="shared" si="36"/>
        <v>6.25</v>
      </c>
      <c r="CD116">
        <f t="shared" si="37"/>
        <v>5.0839517680660612E-2</v>
      </c>
      <c r="CE116" t="e" cm="1">
        <f t="array" ref="CE116">_xlfn.IFS(CD116&gt;0.9,0,CD116&lt;0.01,0)</f>
        <v>#N/A</v>
      </c>
      <c r="CN116">
        <v>29.5</v>
      </c>
      <c r="CO116">
        <v>96.25</v>
      </c>
      <c r="CP116">
        <f t="shared" si="38"/>
        <v>15.5</v>
      </c>
      <c r="CQ116">
        <f t="shared" si="39"/>
        <v>1.0234559762899056E-3</v>
      </c>
      <c r="CR116" cm="1">
        <f t="array" ref="CR116">_xlfn.IFS(CQ116&gt;0.9,0,CQ116&lt;0.01,0)</f>
        <v>0</v>
      </c>
      <c r="DA116">
        <v>29.5</v>
      </c>
      <c r="DB116">
        <v>97</v>
      </c>
      <c r="DC116">
        <f t="shared" si="40"/>
        <v>14.75</v>
      </c>
      <c r="DD116">
        <f t="shared" si="41"/>
        <v>1.0581973218462768E-2</v>
      </c>
      <c r="DE116" t="e" cm="1">
        <f t="array" ref="DE116">_xlfn.IFS(DD116&gt;0.9,0,DD116&lt;0.01,0)</f>
        <v>#N/A</v>
      </c>
      <c r="DN116">
        <v>29.5</v>
      </c>
      <c r="DO116">
        <v>99.5</v>
      </c>
      <c r="DP116">
        <f t="shared" si="42"/>
        <v>16.25</v>
      </c>
      <c r="DQ116">
        <f t="shared" si="43"/>
        <v>3.2416909925266591E-3</v>
      </c>
      <c r="DR116" cm="1">
        <f t="array" ref="DR116">_xlfn.IFS(DQ116&gt;0.9,0,DQ116&lt;0.01,0)</f>
        <v>0</v>
      </c>
    </row>
    <row r="117" spans="1:122" x14ac:dyDescent="0.4">
      <c r="A117">
        <v>29.75</v>
      </c>
      <c r="B117">
        <v>99.75</v>
      </c>
      <c r="C117">
        <f t="shared" si="24"/>
        <v>17.55</v>
      </c>
      <c r="D117">
        <f t="shared" si="25"/>
        <v>9.0722813777418534E-4</v>
      </c>
      <c r="E117" cm="1">
        <f t="array" ref="E117">_xlfn.IFS(D117&gt;0.9,0,D117&lt;0.01,0)</f>
        <v>0</v>
      </c>
      <c r="N117">
        <v>29.75</v>
      </c>
      <c r="O117">
        <v>16.75</v>
      </c>
      <c r="P117">
        <f t="shared" si="26"/>
        <v>7.75</v>
      </c>
      <c r="Q117">
        <f t="shared" si="27"/>
        <v>9.8619956759133723E-2</v>
      </c>
      <c r="R117" t="e" cm="1">
        <f t="array" ref="R117">_xlfn.IFS(Q117&gt;0.9,0,Q117&lt;0.01,0)</f>
        <v>#N/A</v>
      </c>
      <c r="AA117">
        <v>28.75</v>
      </c>
      <c r="AB117">
        <v>25.25</v>
      </c>
      <c r="AC117">
        <f t="shared" si="28"/>
        <v>15.75</v>
      </c>
      <c r="AD117">
        <f t="shared" si="29"/>
        <v>4.0597306939808973E-2</v>
      </c>
      <c r="AE117" t="e" cm="1">
        <f t="array" ref="AE117">_xlfn.IFS(AD117&gt;0.9,0,AD117&lt;0.01,0)</f>
        <v>#N/A</v>
      </c>
      <c r="AN117">
        <v>29.75</v>
      </c>
      <c r="AO117">
        <v>27.75</v>
      </c>
      <c r="AP117">
        <f t="shared" si="30"/>
        <v>20.25</v>
      </c>
      <c r="AQ117">
        <f t="shared" si="31"/>
        <v>1.0380526626359732E-2</v>
      </c>
      <c r="AR117" t="e" cm="1">
        <f t="array" ref="AR117">_xlfn.IFS(AQ117&gt;0.9,0,AQ117&lt;0.01,0)</f>
        <v>#N/A</v>
      </c>
      <c r="BA117">
        <v>29.75</v>
      </c>
      <c r="BB117">
        <v>14.75</v>
      </c>
      <c r="BC117">
        <f t="shared" si="32"/>
        <v>12</v>
      </c>
      <c r="BD117">
        <f t="shared" si="33"/>
        <v>8.4158750885797773E-2</v>
      </c>
      <c r="BE117" t="e" cm="1">
        <f t="array" ref="BE117">_xlfn.IFS(BD117&gt;0.9,0,BD117&lt;0.01,0)</f>
        <v>#N/A</v>
      </c>
      <c r="BN117">
        <v>29.75</v>
      </c>
      <c r="BO117">
        <v>87.5</v>
      </c>
      <c r="BP117">
        <f t="shared" si="34"/>
        <v>14.75</v>
      </c>
      <c r="BQ117">
        <f t="shared" si="35"/>
        <v>3.7168194916834478E-2</v>
      </c>
      <c r="BR117" t="e" cm="1">
        <f t="array" ref="BR117">_xlfn.IFS(BQ117&gt;0.9,0,BQ117&lt;0.01,0)</f>
        <v>#N/A</v>
      </c>
      <c r="CA117">
        <v>29.75</v>
      </c>
      <c r="CB117">
        <v>12.75</v>
      </c>
      <c r="CC117">
        <f t="shared" si="36"/>
        <v>6.5</v>
      </c>
      <c r="CD117">
        <f t="shared" si="37"/>
        <v>5.0839517680660612E-2</v>
      </c>
      <c r="CE117" t="e" cm="1">
        <f t="array" ref="CE117">_xlfn.IFS(CD117&gt;0.9,0,CD117&lt;0.01,0)</f>
        <v>#N/A</v>
      </c>
      <c r="CN117">
        <v>29.75</v>
      </c>
      <c r="CO117">
        <v>96.25</v>
      </c>
      <c r="CP117">
        <f t="shared" si="38"/>
        <v>15.75</v>
      </c>
      <c r="CQ117">
        <f t="shared" si="39"/>
        <v>1.0234559762899056E-3</v>
      </c>
      <c r="CR117" cm="1">
        <f t="array" ref="CR117">_xlfn.IFS(CQ117&gt;0.9,0,CQ117&lt;0.01,0)</f>
        <v>0</v>
      </c>
      <c r="DA117">
        <v>29.75</v>
      </c>
      <c r="DB117">
        <v>97.25</v>
      </c>
      <c r="DC117">
        <f t="shared" si="40"/>
        <v>15</v>
      </c>
      <c r="DD117">
        <f t="shared" si="41"/>
        <v>7.7696470027451671E-3</v>
      </c>
      <c r="DE117" cm="1">
        <f t="array" ref="DE117">_xlfn.IFS(DD117&gt;0.9,0,DD117&lt;0.01,0)</f>
        <v>0</v>
      </c>
      <c r="DN117">
        <v>29.75</v>
      </c>
      <c r="DO117">
        <v>99.5</v>
      </c>
      <c r="DP117">
        <f t="shared" si="42"/>
        <v>16.5</v>
      </c>
      <c r="DQ117">
        <f t="shared" si="43"/>
        <v>3.2416909925266591E-3</v>
      </c>
      <c r="DR117" cm="1">
        <f t="array" ref="DR117">_xlfn.IFS(DQ117&gt;0.9,0,DQ117&lt;0.01,0)</f>
        <v>0</v>
      </c>
    </row>
    <row r="118" spans="1:122" x14ac:dyDescent="0.4">
      <c r="A118">
        <v>30</v>
      </c>
      <c r="B118">
        <v>99.75</v>
      </c>
      <c r="C118">
        <f t="shared" si="24"/>
        <v>17.8</v>
      </c>
      <c r="D118">
        <f t="shared" si="25"/>
        <v>9.0722813777418534E-4</v>
      </c>
      <c r="E118" cm="1">
        <f t="array" ref="E118">_xlfn.IFS(D118&gt;0.9,0,D118&lt;0.01,0)</f>
        <v>0</v>
      </c>
      <c r="N118">
        <v>30</v>
      </c>
      <c r="O118">
        <v>16.5</v>
      </c>
      <c r="P118">
        <f t="shared" si="26"/>
        <v>8</v>
      </c>
      <c r="Q118">
        <f t="shared" si="27"/>
        <v>9.5975667851515262E-2</v>
      </c>
      <c r="R118" t="e" cm="1">
        <f t="array" ref="R118">_xlfn.IFS(Q118&gt;0.9,0,Q118&lt;0.01,0)</f>
        <v>#N/A</v>
      </c>
      <c r="AA118">
        <v>29</v>
      </c>
      <c r="AB118">
        <v>25.25</v>
      </c>
      <c r="AC118">
        <f t="shared" si="28"/>
        <v>16</v>
      </c>
      <c r="AD118">
        <f t="shared" si="29"/>
        <v>4.0597306939808973E-2</v>
      </c>
      <c r="AE118" t="e" cm="1">
        <f t="array" ref="AE118">_xlfn.IFS(AD118&gt;0.9,0,AD118&lt;0.01,0)</f>
        <v>#N/A</v>
      </c>
      <c r="AN118">
        <v>30</v>
      </c>
      <c r="AO118">
        <v>27.75</v>
      </c>
      <c r="AP118">
        <f t="shared" si="30"/>
        <v>20.5</v>
      </c>
      <c r="AQ118">
        <f t="shared" si="31"/>
        <v>1.0380526626359732E-2</v>
      </c>
      <c r="AR118" t="e" cm="1">
        <f t="array" ref="AR118">_xlfn.IFS(AQ118&gt;0.9,0,AQ118&lt;0.01,0)</f>
        <v>#N/A</v>
      </c>
      <c r="BA118">
        <v>30</v>
      </c>
      <c r="BB118">
        <v>14.5</v>
      </c>
      <c r="BC118">
        <f t="shared" si="32"/>
        <v>12.25</v>
      </c>
      <c r="BD118">
        <f t="shared" si="33"/>
        <v>8.1468513372560572E-2</v>
      </c>
      <c r="BE118" t="e" cm="1">
        <f t="array" ref="BE118">_xlfn.IFS(BD118&gt;0.9,0,BD118&lt;0.01,0)</f>
        <v>#N/A</v>
      </c>
      <c r="BN118">
        <v>30</v>
      </c>
      <c r="BO118">
        <v>87.75</v>
      </c>
      <c r="BP118">
        <f t="shared" si="34"/>
        <v>15</v>
      </c>
      <c r="BQ118">
        <f t="shared" si="35"/>
        <v>3.4192850215740991E-2</v>
      </c>
      <c r="BR118" t="e" cm="1">
        <f t="array" ref="BR118">_xlfn.IFS(BQ118&gt;0.9,0,BQ118&lt;0.01,0)</f>
        <v>#N/A</v>
      </c>
      <c r="CA118">
        <v>30</v>
      </c>
      <c r="CB118">
        <v>12.75</v>
      </c>
      <c r="CC118">
        <f t="shared" si="36"/>
        <v>6.75</v>
      </c>
      <c r="CD118">
        <f t="shared" si="37"/>
        <v>5.0839517680660612E-2</v>
      </c>
      <c r="CE118" t="e" cm="1">
        <f t="array" ref="CE118">_xlfn.IFS(CD118&gt;0.9,0,CD118&lt;0.01,0)</f>
        <v>#N/A</v>
      </c>
      <c r="CN118">
        <v>30</v>
      </c>
      <c r="CO118">
        <v>96.25</v>
      </c>
      <c r="CP118">
        <f t="shared" si="38"/>
        <v>16</v>
      </c>
      <c r="CQ118">
        <f t="shared" si="39"/>
        <v>1.0234559762899056E-3</v>
      </c>
      <c r="CR118" cm="1">
        <f t="array" ref="CR118">_xlfn.IFS(CQ118&gt;0.9,0,CQ118&lt;0.01,0)</f>
        <v>0</v>
      </c>
      <c r="DA118">
        <v>30</v>
      </c>
      <c r="DB118">
        <v>97.25</v>
      </c>
      <c r="DC118">
        <f t="shared" si="40"/>
        <v>15.25</v>
      </c>
      <c r="DD118">
        <f t="shared" si="41"/>
        <v>7.7696470027451671E-3</v>
      </c>
      <c r="DE118" cm="1">
        <f t="array" ref="DE118">_xlfn.IFS(DD118&gt;0.9,0,DD118&lt;0.01,0)</f>
        <v>0</v>
      </c>
      <c r="DN118">
        <v>30</v>
      </c>
      <c r="DO118">
        <v>99.5</v>
      </c>
      <c r="DP118">
        <f t="shared" si="42"/>
        <v>16.75</v>
      </c>
      <c r="DQ118">
        <f t="shared" si="43"/>
        <v>3.2416909925266591E-3</v>
      </c>
      <c r="DR118" cm="1">
        <f t="array" ref="DR118">_xlfn.IFS(DQ118&gt;0.9,0,DQ118&lt;0.01,0)</f>
        <v>0</v>
      </c>
    </row>
    <row r="119" spans="1:122" x14ac:dyDescent="0.4">
      <c r="A119">
        <v>30.251000000000001</v>
      </c>
      <c r="B119">
        <v>99.75</v>
      </c>
      <c r="C119">
        <f t="shared" si="24"/>
        <v>18.051000000000002</v>
      </c>
      <c r="D119">
        <f t="shared" si="25"/>
        <v>9.0722813777418534E-4</v>
      </c>
      <c r="E119" cm="1">
        <f t="array" ref="E119">_xlfn.IFS(D119&gt;0.9,0,D119&lt;0.01,0)</f>
        <v>0</v>
      </c>
      <c r="N119">
        <v>30.251000000000001</v>
      </c>
      <c r="O119">
        <v>16</v>
      </c>
      <c r="P119">
        <f t="shared" si="26"/>
        <v>8.2510000000000012</v>
      </c>
      <c r="Q119">
        <f t="shared" si="27"/>
        <v>9.0687090036278353E-2</v>
      </c>
      <c r="R119" t="e" cm="1">
        <f t="array" ref="R119">_xlfn.IFS(Q119&gt;0.9,0,Q119&lt;0.01,0)</f>
        <v>#N/A</v>
      </c>
      <c r="AA119">
        <v>29.25</v>
      </c>
      <c r="AB119">
        <v>25.5</v>
      </c>
      <c r="AC119">
        <f t="shared" si="28"/>
        <v>16.25</v>
      </c>
      <c r="AD119">
        <f t="shared" si="29"/>
        <v>2.7390954079871126E-2</v>
      </c>
      <c r="AE119" t="e" cm="1">
        <f t="array" ref="AE119">_xlfn.IFS(AD119&gt;0.9,0,AD119&lt;0.01,0)</f>
        <v>#N/A</v>
      </c>
      <c r="AN119">
        <v>30.25</v>
      </c>
      <c r="AO119">
        <v>27.75</v>
      </c>
      <c r="AP119">
        <f t="shared" si="30"/>
        <v>20.75</v>
      </c>
      <c r="AQ119">
        <f t="shared" si="31"/>
        <v>1.0380526626359732E-2</v>
      </c>
      <c r="AR119" t="e" cm="1">
        <f t="array" ref="AR119">_xlfn.IFS(AQ119&gt;0.9,0,AQ119&lt;0.01,0)</f>
        <v>#N/A</v>
      </c>
      <c r="BA119">
        <v>30.25</v>
      </c>
      <c r="BB119">
        <v>14</v>
      </c>
      <c r="BC119">
        <f t="shared" si="32"/>
        <v>12.5</v>
      </c>
      <c r="BD119">
        <f t="shared" si="33"/>
        <v>7.608803834608617E-2</v>
      </c>
      <c r="BE119" t="e" cm="1">
        <f t="array" ref="BE119">_xlfn.IFS(BD119&gt;0.9,0,BD119&lt;0.01,0)</f>
        <v>#N/A</v>
      </c>
      <c r="BN119">
        <v>30.251000000000001</v>
      </c>
      <c r="BO119">
        <v>87.75</v>
      </c>
      <c r="BP119">
        <f t="shared" si="34"/>
        <v>15.251000000000001</v>
      </c>
      <c r="BQ119">
        <f t="shared" si="35"/>
        <v>3.4192850215740991E-2</v>
      </c>
      <c r="BR119" t="e" cm="1">
        <f t="array" ref="BR119">_xlfn.IFS(BQ119&gt;0.9,0,BQ119&lt;0.01,0)</f>
        <v>#N/A</v>
      </c>
      <c r="CA119">
        <v>30.251000000000001</v>
      </c>
      <c r="CB119">
        <v>12.5</v>
      </c>
      <c r="CC119">
        <f t="shared" si="36"/>
        <v>7.0010000000000012</v>
      </c>
      <c r="CD119">
        <f t="shared" si="37"/>
        <v>4.7861470619868778E-2</v>
      </c>
      <c r="CE119" t="e" cm="1">
        <f t="array" ref="CE119">_xlfn.IFS(CD119&gt;0.9,0,CD119&lt;0.01,0)</f>
        <v>#N/A</v>
      </c>
      <c r="CN119">
        <v>30.251000000000001</v>
      </c>
      <c r="CO119">
        <v>96.5</v>
      </c>
      <c r="CP119">
        <f t="shared" si="38"/>
        <v>16.251000000000001</v>
      </c>
      <c r="CQ119">
        <f t="shared" si="39"/>
        <v>-1.7590649592483594E-3</v>
      </c>
      <c r="CR119" cm="1">
        <f t="array" ref="CR119">_xlfn.IFS(CQ119&gt;0.9,0,CQ119&lt;0.01,0)</f>
        <v>0</v>
      </c>
      <c r="DA119">
        <v>30.251000000000001</v>
      </c>
      <c r="DB119">
        <v>97.25</v>
      </c>
      <c r="DC119">
        <f t="shared" si="40"/>
        <v>15.501000000000001</v>
      </c>
      <c r="DD119">
        <f t="shared" si="41"/>
        <v>7.7696470027451671E-3</v>
      </c>
      <c r="DE119" cm="1">
        <f t="array" ref="DE119">_xlfn.IFS(DD119&gt;0.9,0,DD119&lt;0.01,0)</f>
        <v>0</v>
      </c>
      <c r="DN119">
        <v>30.251000000000001</v>
      </c>
      <c r="DO119">
        <v>99.5</v>
      </c>
      <c r="DP119">
        <f t="shared" si="42"/>
        <v>17.001000000000001</v>
      </c>
      <c r="DQ119">
        <f t="shared" si="43"/>
        <v>3.2416909925266591E-3</v>
      </c>
      <c r="DR119" cm="1">
        <f t="array" ref="DR119">_xlfn.IFS(DQ119&gt;0.9,0,DQ119&lt;0.01,0)</f>
        <v>0</v>
      </c>
    </row>
    <row r="120" spans="1:122" x14ac:dyDescent="0.4">
      <c r="A120">
        <v>30.5</v>
      </c>
      <c r="B120">
        <v>99.75</v>
      </c>
      <c r="C120">
        <f t="shared" si="24"/>
        <v>18.3</v>
      </c>
      <c r="D120">
        <f t="shared" si="25"/>
        <v>9.0722813777418534E-4</v>
      </c>
      <c r="E120" cm="1">
        <f t="array" ref="E120">_xlfn.IFS(D120&gt;0.9,0,D120&lt;0.01,0)</f>
        <v>0</v>
      </c>
      <c r="N120">
        <v>30.5</v>
      </c>
      <c r="O120">
        <v>15.75</v>
      </c>
      <c r="P120">
        <f t="shared" si="26"/>
        <v>8.5</v>
      </c>
      <c r="Q120">
        <f t="shared" si="27"/>
        <v>8.8042801128659906E-2</v>
      </c>
      <c r="R120" t="e" cm="1">
        <f t="array" ref="R120">_xlfn.IFS(Q120&gt;0.9,0,Q120&lt;0.01,0)</f>
        <v>#N/A</v>
      </c>
      <c r="AA120">
        <v>29.5</v>
      </c>
      <c r="AB120">
        <v>25.5</v>
      </c>
      <c r="AC120">
        <f t="shared" si="28"/>
        <v>16.5</v>
      </c>
      <c r="AD120">
        <f t="shared" si="29"/>
        <v>2.7390954079871126E-2</v>
      </c>
      <c r="AE120" t="e" cm="1">
        <f t="array" ref="AE120">_xlfn.IFS(AD120&gt;0.9,0,AD120&lt;0.01,0)</f>
        <v>#N/A</v>
      </c>
      <c r="AN120">
        <v>30.5</v>
      </c>
      <c r="AO120">
        <v>27.75</v>
      </c>
      <c r="AP120">
        <f t="shared" si="30"/>
        <v>21</v>
      </c>
      <c r="AQ120">
        <f t="shared" si="31"/>
        <v>1.0380526626359732E-2</v>
      </c>
      <c r="AR120" t="e" cm="1">
        <f t="array" ref="AR120">_xlfn.IFS(AQ120&gt;0.9,0,AQ120&lt;0.01,0)</f>
        <v>#N/A</v>
      </c>
      <c r="BA120">
        <v>30.5</v>
      </c>
      <c r="BB120">
        <v>13.75</v>
      </c>
      <c r="BC120">
        <f t="shared" si="32"/>
        <v>12.75</v>
      </c>
      <c r="BD120">
        <f t="shared" si="33"/>
        <v>7.3397800832848969E-2</v>
      </c>
      <c r="BE120" t="e" cm="1">
        <f t="array" ref="BE120">_xlfn.IFS(BD120&gt;0.9,0,BD120&lt;0.01,0)</f>
        <v>#N/A</v>
      </c>
      <c r="BN120">
        <v>30.5</v>
      </c>
      <c r="BO120">
        <v>88</v>
      </c>
      <c r="BP120">
        <f t="shared" si="34"/>
        <v>15.5</v>
      </c>
      <c r="BQ120">
        <f t="shared" si="35"/>
        <v>3.1217505514647508E-2</v>
      </c>
      <c r="BR120" t="e" cm="1">
        <f t="array" ref="BR120">_xlfn.IFS(BQ120&gt;0.9,0,BQ120&lt;0.01,0)</f>
        <v>#N/A</v>
      </c>
      <c r="CA120">
        <v>30.5</v>
      </c>
      <c r="CB120">
        <v>12.5</v>
      </c>
      <c r="CC120">
        <f t="shared" si="36"/>
        <v>7.25</v>
      </c>
      <c r="CD120">
        <f t="shared" si="37"/>
        <v>4.7861470619868778E-2</v>
      </c>
      <c r="CE120" t="e" cm="1">
        <f t="array" ref="CE120">_xlfn.IFS(CD120&gt;0.9,0,CD120&lt;0.01,0)</f>
        <v>#N/A</v>
      </c>
      <c r="CN120">
        <v>30.5</v>
      </c>
      <c r="CO120">
        <v>96.25</v>
      </c>
      <c r="CP120">
        <f t="shared" si="38"/>
        <v>16.5</v>
      </c>
      <c r="CQ120">
        <f t="shared" si="39"/>
        <v>1.0234559762899056E-3</v>
      </c>
      <c r="CR120" cm="1">
        <f t="array" ref="CR120">_xlfn.IFS(CQ120&gt;0.9,0,CQ120&lt;0.01,0)</f>
        <v>0</v>
      </c>
      <c r="DA120">
        <v>30.5</v>
      </c>
      <c r="DB120">
        <v>97.25</v>
      </c>
      <c r="DC120">
        <f t="shared" si="40"/>
        <v>15.75</v>
      </c>
      <c r="DD120">
        <f t="shared" si="41"/>
        <v>7.7696470027451671E-3</v>
      </c>
      <c r="DE120" cm="1">
        <f t="array" ref="DE120">_xlfn.IFS(DD120&gt;0.9,0,DD120&lt;0.01,0)</f>
        <v>0</v>
      </c>
      <c r="DN120">
        <v>30.5</v>
      </c>
      <c r="DO120">
        <v>99.5</v>
      </c>
      <c r="DP120">
        <f t="shared" si="42"/>
        <v>17.25</v>
      </c>
      <c r="DQ120">
        <f t="shared" si="43"/>
        <v>3.2416909925266591E-3</v>
      </c>
      <c r="DR120" cm="1">
        <f t="array" ref="DR120">_xlfn.IFS(DQ120&gt;0.9,0,DQ120&lt;0.01,0)</f>
        <v>0</v>
      </c>
    </row>
    <row r="121" spans="1:122" x14ac:dyDescent="0.4">
      <c r="A121">
        <v>30.75</v>
      </c>
      <c r="B121">
        <v>100</v>
      </c>
      <c r="C121">
        <f t="shared" si="24"/>
        <v>18.55</v>
      </c>
      <c r="D121">
        <f t="shared" si="25"/>
        <v>-1.7189585768350943E-3</v>
      </c>
      <c r="E121" cm="1">
        <f t="array" ref="E121">_xlfn.IFS(D121&gt;0.9,0,D121&lt;0.01,0)</f>
        <v>0</v>
      </c>
      <c r="N121">
        <v>30.75</v>
      </c>
      <c r="O121">
        <v>15.75</v>
      </c>
      <c r="P121">
        <f t="shared" si="26"/>
        <v>8.75</v>
      </c>
      <c r="Q121">
        <f t="shared" si="27"/>
        <v>8.8042801128659906E-2</v>
      </c>
      <c r="R121" t="e" cm="1">
        <f t="array" ref="R121">_xlfn.IFS(Q121&gt;0.9,0,Q121&lt;0.01,0)</f>
        <v>#N/A</v>
      </c>
      <c r="AA121">
        <v>29.75</v>
      </c>
      <c r="AB121">
        <v>25.5</v>
      </c>
      <c r="AC121">
        <f t="shared" si="28"/>
        <v>16.75</v>
      </c>
      <c r="AD121">
        <f t="shared" si="29"/>
        <v>2.7390954079871126E-2</v>
      </c>
      <c r="AE121" t="e" cm="1">
        <f t="array" ref="AE121">_xlfn.IFS(AD121&gt;0.9,0,AD121&lt;0.01,0)</f>
        <v>#N/A</v>
      </c>
      <c r="AN121">
        <v>30.75</v>
      </c>
      <c r="AO121">
        <v>27.5</v>
      </c>
      <c r="AP121">
        <f t="shared" si="30"/>
        <v>21.25</v>
      </c>
      <c r="AQ121">
        <f t="shared" si="31"/>
        <v>7.0284815699310655E-3</v>
      </c>
      <c r="AR121" cm="1">
        <f t="array" ref="AR121">_xlfn.IFS(AQ121&gt;0.9,0,AQ121&lt;0.01,0)</f>
        <v>0</v>
      </c>
      <c r="BA121">
        <v>30.75</v>
      </c>
      <c r="BB121">
        <v>13.5</v>
      </c>
      <c r="BC121">
        <f t="shared" si="32"/>
        <v>13</v>
      </c>
      <c r="BD121">
        <f t="shared" si="33"/>
        <v>7.0707563319611769E-2</v>
      </c>
      <c r="BE121" t="e" cm="1">
        <f t="array" ref="BE121">_xlfn.IFS(BD121&gt;0.9,0,BD121&lt;0.01,0)</f>
        <v>#N/A</v>
      </c>
      <c r="BN121">
        <v>30.75</v>
      </c>
      <c r="BO121">
        <v>88</v>
      </c>
      <c r="BP121">
        <f t="shared" si="34"/>
        <v>15.75</v>
      </c>
      <c r="BQ121">
        <f t="shared" si="35"/>
        <v>3.1217505514647508E-2</v>
      </c>
      <c r="BR121" t="e" cm="1">
        <f t="array" ref="BR121">_xlfn.IFS(BQ121&gt;0.9,0,BQ121&lt;0.01,0)</f>
        <v>#N/A</v>
      </c>
      <c r="CA121">
        <v>30.75</v>
      </c>
      <c r="CB121">
        <v>12.5</v>
      </c>
      <c r="CC121">
        <f t="shared" si="36"/>
        <v>7.5</v>
      </c>
      <c r="CD121">
        <f t="shared" si="37"/>
        <v>4.7861470619868778E-2</v>
      </c>
      <c r="CE121" t="e" cm="1">
        <f t="array" ref="CE121">_xlfn.IFS(CD121&gt;0.9,0,CD121&lt;0.01,0)</f>
        <v>#N/A</v>
      </c>
      <c r="CN121">
        <v>30.75</v>
      </c>
      <c r="CO121">
        <v>96.25</v>
      </c>
      <c r="CP121">
        <f t="shared" si="38"/>
        <v>16.75</v>
      </c>
      <c r="CQ121">
        <f t="shared" si="39"/>
        <v>1.0234559762899056E-3</v>
      </c>
      <c r="CR121" cm="1">
        <f t="array" ref="CR121">_xlfn.IFS(CQ121&gt;0.9,0,CQ121&lt;0.01,0)</f>
        <v>0</v>
      </c>
      <c r="DA121">
        <v>30.75</v>
      </c>
      <c r="DB121">
        <v>97.25</v>
      </c>
      <c r="DC121">
        <f t="shared" si="40"/>
        <v>16</v>
      </c>
      <c r="DD121">
        <f t="shared" si="41"/>
        <v>7.7696470027451671E-3</v>
      </c>
      <c r="DE121" cm="1">
        <f t="array" ref="DE121">_xlfn.IFS(DD121&gt;0.9,0,DD121&lt;0.01,0)</f>
        <v>0</v>
      </c>
      <c r="DN121">
        <v>30.75</v>
      </c>
      <c r="DO121">
        <v>99.5</v>
      </c>
      <c r="DP121">
        <f t="shared" si="42"/>
        <v>17.5</v>
      </c>
      <c r="DQ121">
        <f t="shared" si="43"/>
        <v>3.2416909925266591E-3</v>
      </c>
      <c r="DR121" cm="1">
        <f t="array" ref="DR121">_xlfn.IFS(DQ121&gt;0.9,0,DQ121&lt;0.01,0)</f>
        <v>0</v>
      </c>
    </row>
    <row r="122" spans="1:122" x14ac:dyDescent="0.4">
      <c r="A122">
        <v>31</v>
      </c>
      <c r="B122">
        <v>99.75</v>
      </c>
      <c r="C122">
        <f t="shared" si="24"/>
        <v>18.8</v>
      </c>
      <c r="D122">
        <f t="shared" si="25"/>
        <v>9.0722813777418534E-4</v>
      </c>
      <c r="E122" cm="1">
        <f t="array" ref="E122">_xlfn.IFS(D122&gt;0.9,0,D122&lt;0.01,0)</f>
        <v>0</v>
      </c>
      <c r="N122">
        <v>31</v>
      </c>
      <c r="O122">
        <v>15.5</v>
      </c>
      <c r="P122">
        <f t="shared" si="26"/>
        <v>9</v>
      </c>
      <c r="Q122">
        <f t="shared" si="27"/>
        <v>8.5398512221041445E-2</v>
      </c>
      <c r="R122" t="e" cm="1">
        <f t="array" ref="R122">_xlfn.IFS(Q122&gt;0.9,0,Q122&lt;0.01,0)</f>
        <v>#N/A</v>
      </c>
      <c r="AA122">
        <v>30</v>
      </c>
      <c r="AB122">
        <v>25.5</v>
      </c>
      <c r="AC122">
        <f t="shared" si="28"/>
        <v>17</v>
      </c>
      <c r="AD122">
        <f t="shared" si="29"/>
        <v>2.7390954079871126E-2</v>
      </c>
      <c r="AE122" t="e" cm="1">
        <f t="array" ref="AE122">_xlfn.IFS(AD122&gt;0.9,0,AD122&lt;0.01,0)</f>
        <v>#N/A</v>
      </c>
      <c r="AN122">
        <v>31</v>
      </c>
      <c r="AO122">
        <v>27.75</v>
      </c>
      <c r="AP122">
        <f t="shared" si="30"/>
        <v>21.5</v>
      </c>
      <c r="AQ122">
        <f t="shared" si="31"/>
        <v>1.0380526626359732E-2</v>
      </c>
      <c r="AR122" t="e" cm="1">
        <f t="array" ref="AR122">_xlfn.IFS(AQ122&gt;0.9,0,AQ122&lt;0.01,0)</f>
        <v>#N/A</v>
      </c>
      <c r="BA122">
        <v>31</v>
      </c>
      <c r="BB122">
        <v>13</v>
      </c>
      <c r="BC122">
        <f t="shared" si="32"/>
        <v>13.25</v>
      </c>
      <c r="BD122">
        <f t="shared" si="33"/>
        <v>6.5327088293137353E-2</v>
      </c>
      <c r="BE122" t="e" cm="1">
        <f t="array" ref="BE122">_xlfn.IFS(BD122&gt;0.9,0,BD122&lt;0.01,0)</f>
        <v>#N/A</v>
      </c>
      <c r="BN122">
        <v>31</v>
      </c>
      <c r="BO122">
        <v>88</v>
      </c>
      <c r="BP122">
        <f t="shared" si="34"/>
        <v>16</v>
      </c>
      <c r="BQ122">
        <f t="shared" si="35"/>
        <v>3.1217505514647508E-2</v>
      </c>
      <c r="BR122" t="e" cm="1">
        <f t="array" ref="BR122">_xlfn.IFS(BQ122&gt;0.9,0,BQ122&lt;0.01,0)</f>
        <v>#N/A</v>
      </c>
      <c r="CA122">
        <v>31</v>
      </c>
      <c r="CB122">
        <v>12.5</v>
      </c>
      <c r="CC122">
        <f t="shared" si="36"/>
        <v>7.75</v>
      </c>
      <c r="CD122">
        <f t="shared" si="37"/>
        <v>4.7861470619868778E-2</v>
      </c>
      <c r="CE122" t="e" cm="1">
        <f t="array" ref="CE122">_xlfn.IFS(CD122&gt;0.9,0,CD122&lt;0.01,0)</f>
        <v>#N/A</v>
      </c>
      <c r="CN122">
        <v>31</v>
      </c>
      <c r="CO122">
        <v>96.5</v>
      </c>
      <c r="CP122">
        <f t="shared" si="38"/>
        <v>17</v>
      </c>
      <c r="CQ122">
        <f t="shared" si="39"/>
        <v>-1.7590649592483594E-3</v>
      </c>
      <c r="CR122" cm="1">
        <f t="array" ref="CR122">_xlfn.IFS(CQ122&gt;0.9,0,CQ122&lt;0.01,0)</f>
        <v>0</v>
      </c>
      <c r="DA122">
        <v>31</v>
      </c>
      <c r="DB122">
        <v>97.5</v>
      </c>
      <c r="DC122">
        <f t="shared" si="40"/>
        <v>16.25</v>
      </c>
      <c r="DD122">
        <f t="shared" si="41"/>
        <v>4.9573207870275649E-3</v>
      </c>
      <c r="DE122" cm="1">
        <f t="array" ref="DE122">_xlfn.IFS(DD122&gt;0.9,0,DD122&lt;0.01,0)</f>
        <v>0</v>
      </c>
      <c r="DN122">
        <v>31</v>
      </c>
      <c r="DO122">
        <v>99.5</v>
      </c>
      <c r="DP122">
        <f t="shared" si="42"/>
        <v>17.75</v>
      </c>
      <c r="DQ122">
        <f t="shared" si="43"/>
        <v>3.2416909925266591E-3</v>
      </c>
      <c r="DR122" cm="1">
        <f t="array" ref="DR122">_xlfn.IFS(DQ122&gt;0.9,0,DQ122&lt;0.01,0)</f>
        <v>0</v>
      </c>
    </row>
    <row r="123" spans="1:122" x14ac:dyDescent="0.4">
      <c r="A123">
        <v>31.25</v>
      </c>
      <c r="B123">
        <v>99.75</v>
      </c>
      <c r="C123">
        <f t="shared" si="24"/>
        <v>19.05</v>
      </c>
      <c r="D123">
        <f t="shared" si="25"/>
        <v>9.0722813777418534E-4</v>
      </c>
      <c r="E123" cm="1">
        <f t="array" ref="E123">_xlfn.IFS(D123&gt;0.9,0,D123&lt;0.01,0)</f>
        <v>0</v>
      </c>
      <c r="N123">
        <v>31.25</v>
      </c>
      <c r="O123">
        <v>15.25</v>
      </c>
      <c r="P123">
        <f t="shared" si="26"/>
        <v>9.25</v>
      </c>
      <c r="Q123">
        <f t="shared" si="27"/>
        <v>8.2754223313422998E-2</v>
      </c>
      <c r="R123" t="e" cm="1">
        <f t="array" ref="R123">_xlfn.IFS(Q123&gt;0.9,0,Q123&lt;0.01,0)</f>
        <v>#N/A</v>
      </c>
      <c r="AA123">
        <v>30.25</v>
      </c>
      <c r="AB123">
        <v>25.5</v>
      </c>
      <c r="AC123">
        <f t="shared" si="28"/>
        <v>17.25</v>
      </c>
      <c r="AD123">
        <f t="shared" si="29"/>
        <v>2.7390954079871126E-2</v>
      </c>
      <c r="AE123" t="e" cm="1">
        <f t="array" ref="AE123">_xlfn.IFS(AD123&gt;0.9,0,AD123&lt;0.01,0)</f>
        <v>#N/A</v>
      </c>
      <c r="AN123">
        <v>31.25</v>
      </c>
      <c r="AO123">
        <v>27.75</v>
      </c>
      <c r="AP123">
        <f t="shared" si="30"/>
        <v>21.75</v>
      </c>
      <c r="AQ123">
        <f t="shared" si="31"/>
        <v>1.0380526626359732E-2</v>
      </c>
      <c r="AR123" t="e" cm="1">
        <f t="array" ref="AR123">_xlfn.IFS(AQ123&gt;0.9,0,AQ123&lt;0.01,0)</f>
        <v>#N/A</v>
      </c>
      <c r="BA123">
        <v>31.25</v>
      </c>
      <c r="BB123">
        <v>12.75</v>
      </c>
      <c r="BC123">
        <f t="shared" si="32"/>
        <v>13.5</v>
      </c>
      <c r="BD123">
        <f t="shared" si="33"/>
        <v>6.2636850779900152E-2</v>
      </c>
      <c r="BE123" t="e" cm="1">
        <f t="array" ref="BE123">_xlfn.IFS(BD123&gt;0.9,0,BD123&lt;0.01,0)</f>
        <v>#N/A</v>
      </c>
      <c r="BN123">
        <v>31.25</v>
      </c>
      <c r="BO123">
        <v>88.25</v>
      </c>
      <c r="BP123">
        <f t="shared" si="34"/>
        <v>16.25</v>
      </c>
      <c r="BQ123">
        <f t="shared" si="35"/>
        <v>2.8242160813554025E-2</v>
      </c>
      <c r="BR123" t="e" cm="1">
        <f t="array" ref="BR123">_xlfn.IFS(BQ123&gt;0.9,0,BQ123&lt;0.01,0)</f>
        <v>#N/A</v>
      </c>
      <c r="CA123">
        <v>31.25</v>
      </c>
      <c r="CB123">
        <v>12.25</v>
      </c>
      <c r="CC123">
        <f t="shared" si="36"/>
        <v>8</v>
      </c>
      <c r="CD123">
        <f t="shared" si="37"/>
        <v>4.4883423559076943E-2</v>
      </c>
      <c r="CE123" t="e" cm="1">
        <f t="array" ref="CE123">_xlfn.IFS(CD123&gt;0.9,0,CD123&lt;0.01,0)</f>
        <v>#N/A</v>
      </c>
      <c r="CN123">
        <v>31.25</v>
      </c>
      <c r="CO123">
        <v>96.25</v>
      </c>
      <c r="CP123">
        <f t="shared" si="38"/>
        <v>17.25</v>
      </c>
      <c r="CQ123">
        <f t="shared" si="39"/>
        <v>1.0234559762899056E-3</v>
      </c>
      <c r="CR123" cm="1">
        <f t="array" ref="CR123">_xlfn.IFS(CQ123&gt;0.9,0,CQ123&lt;0.01,0)</f>
        <v>0</v>
      </c>
      <c r="DA123">
        <v>31.25</v>
      </c>
      <c r="DB123">
        <v>97.5</v>
      </c>
      <c r="DC123">
        <f t="shared" si="40"/>
        <v>16.5</v>
      </c>
      <c r="DD123">
        <f t="shared" si="41"/>
        <v>4.9573207870275649E-3</v>
      </c>
      <c r="DE123" cm="1">
        <f t="array" ref="DE123">_xlfn.IFS(DD123&gt;0.9,0,DD123&lt;0.01,0)</f>
        <v>0</v>
      </c>
      <c r="DN123">
        <v>31.25</v>
      </c>
      <c r="DO123">
        <v>99.5</v>
      </c>
      <c r="DP123">
        <f t="shared" si="42"/>
        <v>18</v>
      </c>
      <c r="DQ123">
        <f t="shared" si="43"/>
        <v>3.2416909925266591E-3</v>
      </c>
      <c r="DR123" cm="1">
        <f t="array" ref="DR123">_xlfn.IFS(DQ123&gt;0.9,0,DQ123&lt;0.01,0)</f>
        <v>0</v>
      </c>
    </row>
    <row r="124" spans="1:122" x14ac:dyDescent="0.4">
      <c r="A124">
        <v>31.5</v>
      </c>
      <c r="B124">
        <v>99.75</v>
      </c>
      <c r="C124">
        <f t="shared" si="24"/>
        <v>19.3</v>
      </c>
      <c r="D124">
        <f t="shared" si="25"/>
        <v>9.0722813777418534E-4</v>
      </c>
      <c r="E124" cm="1">
        <f t="array" ref="E124">_xlfn.IFS(D124&gt;0.9,0,D124&lt;0.01,0)</f>
        <v>0</v>
      </c>
      <c r="N124">
        <v>31.5</v>
      </c>
      <c r="O124">
        <v>15</v>
      </c>
      <c r="P124">
        <f t="shared" si="26"/>
        <v>9.5</v>
      </c>
      <c r="Q124">
        <f t="shared" si="27"/>
        <v>8.0109934405804537E-2</v>
      </c>
      <c r="R124" t="e" cm="1">
        <f t="array" ref="R124">_xlfn.IFS(Q124&gt;0.9,0,Q124&lt;0.01,0)</f>
        <v>#N/A</v>
      </c>
      <c r="AA124">
        <v>30.5</v>
      </c>
      <c r="AB124">
        <v>25.5</v>
      </c>
      <c r="AC124">
        <f t="shared" si="28"/>
        <v>17.5</v>
      </c>
      <c r="AD124">
        <f t="shared" si="29"/>
        <v>2.7390954079871126E-2</v>
      </c>
      <c r="AE124" t="e" cm="1">
        <f t="array" ref="AE124">_xlfn.IFS(AD124&gt;0.9,0,AD124&lt;0.01,0)</f>
        <v>#N/A</v>
      </c>
      <c r="AN124">
        <v>31.5</v>
      </c>
      <c r="AO124">
        <v>27.5</v>
      </c>
      <c r="AP124">
        <f t="shared" si="30"/>
        <v>22</v>
      </c>
      <c r="AQ124">
        <f t="shared" si="31"/>
        <v>7.0284815699310655E-3</v>
      </c>
      <c r="AR124" cm="1">
        <f t="array" ref="AR124">_xlfn.IFS(AQ124&gt;0.9,0,AQ124&lt;0.01,0)</f>
        <v>0</v>
      </c>
      <c r="BA124">
        <v>31.5</v>
      </c>
      <c r="BB124">
        <v>12.5</v>
      </c>
      <c r="BC124">
        <f t="shared" si="32"/>
        <v>13.75</v>
      </c>
      <c r="BD124">
        <f t="shared" si="33"/>
        <v>5.9946613266662951E-2</v>
      </c>
      <c r="BE124" t="e" cm="1">
        <f t="array" ref="BE124">_xlfn.IFS(BD124&gt;0.9,0,BD124&lt;0.01,0)</f>
        <v>#N/A</v>
      </c>
      <c r="BN124">
        <v>31.5</v>
      </c>
      <c r="BO124">
        <v>88.25</v>
      </c>
      <c r="BP124">
        <f t="shared" si="34"/>
        <v>16.5</v>
      </c>
      <c r="BQ124">
        <f t="shared" si="35"/>
        <v>2.8242160813554025E-2</v>
      </c>
      <c r="BR124" t="e" cm="1">
        <f t="array" ref="BR124">_xlfn.IFS(BQ124&gt;0.9,0,BQ124&lt;0.01,0)</f>
        <v>#N/A</v>
      </c>
      <c r="CA124">
        <v>31.5</v>
      </c>
      <c r="CB124">
        <v>12.25</v>
      </c>
      <c r="CC124">
        <f t="shared" si="36"/>
        <v>8.25</v>
      </c>
      <c r="CD124">
        <f t="shared" si="37"/>
        <v>4.4883423559076943E-2</v>
      </c>
      <c r="CE124" t="e" cm="1">
        <f t="array" ref="CE124">_xlfn.IFS(CD124&gt;0.9,0,CD124&lt;0.01,0)</f>
        <v>#N/A</v>
      </c>
      <c r="CN124">
        <v>31.5</v>
      </c>
      <c r="CO124">
        <v>96</v>
      </c>
      <c r="CP124">
        <f t="shared" si="38"/>
        <v>17.5</v>
      </c>
      <c r="CQ124">
        <f t="shared" si="39"/>
        <v>3.8059769118281707E-3</v>
      </c>
      <c r="CR124" cm="1">
        <f t="array" ref="CR124">_xlfn.IFS(CQ124&gt;0.9,0,CQ124&lt;0.01,0)</f>
        <v>0</v>
      </c>
      <c r="DA124">
        <v>31.5</v>
      </c>
      <c r="DB124">
        <v>97.5</v>
      </c>
      <c r="DC124">
        <f t="shared" si="40"/>
        <v>16.75</v>
      </c>
      <c r="DD124">
        <f t="shared" si="41"/>
        <v>4.9573207870275649E-3</v>
      </c>
      <c r="DE124" cm="1">
        <f t="array" ref="DE124">_xlfn.IFS(DD124&gt;0.9,0,DD124&lt;0.01,0)</f>
        <v>0</v>
      </c>
      <c r="DN124">
        <v>31.5</v>
      </c>
      <c r="DO124">
        <v>99.25</v>
      </c>
      <c r="DP124">
        <f t="shared" si="42"/>
        <v>18.25</v>
      </c>
      <c r="DQ124">
        <f t="shared" si="43"/>
        <v>5.8982962937192849E-3</v>
      </c>
      <c r="DR124" cm="1">
        <f t="array" ref="DR124">_xlfn.IFS(DQ124&gt;0.9,0,DQ124&lt;0.01,0)</f>
        <v>0</v>
      </c>
    </row>
    <row r="125" spans="1:122" x14ac:dyDescent="0.4">
      <c r="A125">
        <v>31.75</v>
      </c>
      <c r="B125">
        <v>99.75</v>
      </c>
      <c r="C125">
        <f t="shared" si="24"/>
        <v>19.55</v>
      </c>
      <c r="D125">
        <f t="shared" si="25"/>
        <v>9.0722813777418534E-4</v>
      </c>
      <c r="E125" cm="1">
        <f t="array" ref="E125">_xlfn.IFS(D125&gt;0.9,0,D125&lt;0.01,0)</f>
        <v>0</v>
      </c>
      <c r="N125">
        <v>31.75</v>
      </c>
      <c r="O125">
        <v>14.75</v>
      </c>
      <c r="P125">
        <f t="shared" si="26"/>
        <v>9.75</v>
      </c>
      <c r="Q125">
        <f t="shared" si="27"/>
        <v>7.7465645498186089E-2</v>
      </c>
      <c r="R125" t="e" cm="1">
        <f t="array" ref="R125">_xlfn.IFS(Q125&gt;0.9,0,Q125&lt;0.01,0)</f>
        <v>#N/A</v>
      </c>
      <c r="AA125">
        <v>30.75</v>
      </c>
      <c r="AB125">
        <v>25.5</v>
      </c>
      <c r="AC125">
        <f t="shared" si="28"/>
        <v>17.75</v>
      </c>
      <c r="AD125">
        <f t="shared" si="29"/>
        <v>2.7390954079871126E-2</v>
      </c>
      <c r="AE125" t="e" cm="1">
        <f t="array" ref="AE125">_xlfn.IFS(AD125&gt;0.9,0,AD125&lt;0.01,0)</f>
        <v>#N/A</v>
      </c>
      <c r="AN125">
        <v>31.75</v>
      </c>
      <c r="AO125">
        <v>27.5</v>
      </c>
      <c r="AP125">
        <f t="shared" si="30"/>
        <v>22.25</v>
      </c>
      <c r="AQ125">
        <f t="shared" si="31"/>
        <v>7.0284815699310655E-3</v>
      </c>
      <c r="AR125" cm="1">
        <f t="array" ref="AR125">_xlfn.IFS(AQ125&gt;0.9,0,AQ125&lt;0.01,0)</f>
        <v>0</v>
      </c>
      <c r="BA125">
        <v>31.75</v>
      </c>
      <c r="BB125">
        <v>12.25</v>
      </c>
      <c r="BC125">
        <f t="shared" si="32"/>
        <v>14</v>
      </c>
      <c r="BD125">
        <f t="shared" si="33"/>
        <v>5.7256375753425751E-2</v>
      </c>
      <c r="BE125" t="e" cm="1">
        <f t="array" ref="BE125">_xlfn.IFS(BD125&gt;0.9,0,BD125&lt;0.01,0)</f>
        <v>#N/A</v>
      </c>
      <c r="BN125">
        <v>31.75</v>
      </c>
      <c r="BO125">
        <v>88.5</v>
      </c>
      <c r="BP125">
        <f t="shared" si="34"/>
        <v>16.75</v>
      </c>
      <c r="BQ125">
        <f t="shared" si="35"/>
        <v>2.5266816112460542E-2</v>
      </c>
      <c r="BR125" t="e" cm="1">
        <f t="array" ref="BR125">_xlfn.IFS(BQ125&gt;0.9,0,BQ125&lt;0.01,0)</f>
        <v>#N/A</v>
      </c>
      <c r="CA125">
        <v>31.75</v>
      </c>
      <c r="CB125">
        <v>12.25</v>
      </c>
      <c r="CC125">
        <f t="shared" si="36"/>
        <v>8.5</v>
      </c>
      <c r="CD125">
        <f t="shared" si="37"/>
        <v>4.4883423559076943E-2</v>
      </c>
      <c r="CE125" t="e" cm="1">
        <f t="array" ref="CE125">_xlfn.IFS(CD125&gt;0.9,0,CD125&lt;0.01,0)</f>
        <v>#N/A</v>
      </c>
      <c r="CN125">
        <v>31.75</v>
      </c>
      <c r="CO125">
        <v>96.25</v>
      </c>
      <c r="CP125">
        <f t="shared" si="38"/>
        <v>17.75</v>
      </c>
      <c r="CQ125">
        <f t="shared" si="39"/>
        <v>1.0234559762899056E-3</v>
      </c>
      <c r="CR125" cm="1">
        <f t="array" ref="CR125">_xlfn.IFS(CQ125&gt;0.9,0,CQ125&lt;0.01,0)</f>
        <v>0</v>
      </c>
      <c r="DA125">
        <v>31.75</v>
      </c>
      <c r="DB125">
        <v>97.5</v>
      </c>
      <c r="DC125">
        <f t="shared" si="40"/>
        <v>17</v>
      </c>
      <c r="DD125">
        <f t="shared" si="41"/>
        <v>4.9573207870275649E-3</v>
      </c>
      <c r="DE125" cm="1">
        <f t="array" ref="DE125">_xlfn.IFS(DD125&gt;0.9,0,DD125&lt;0.01,0)</f>
        <v>0</v>
      </c>
      <c r="DN125">
        <v>31.75</v>
      </c>
      <c r="DO125">
        <v>99.25</v>
      </c>
      <c r="DP125">
        <f t="shared" si="42"/>
        <v>18.5</v>
      </c>
      <c r="DQ125">
        <f t="shared" si="43"/>
        <v>5.8982962937192849E-3</v>
      </c>
      <c r="DR125" cm="1">
        <f t="array" ref="DR125">_xlfn.IFS(DQ125&gt;0.9,0,DQ125&lt;0.01,0)</f>
        <v>0</v>
      </c>
    </row>
    <row r="126" spans="1:122" x14ac:dyDescent="0.4">
      <c r="A126">
        <v>32</v>
      </c>
      <c r="B126">
        <v>99.75</v>
      </c>
      <c r="C126">
        <f t="shared" si="24"/>
        <v>19.8</v>
      </c>
      <c r="D126">
        <f t="shared" si="25"/>
        <v>9.0722813777418534E-4</v>
      </c>
      <c r="E126" cm="1">
        <f t="array" ref="E126">_xlfn.IFS(D126&gt;0.9,0,D126&lt;0.01,0)</f>
        <v>0</v>
      </c>
      <c r="N126">
        <v>32</v>
      </c>
      <c r="O126">
        <v>14.5</v>
      </c>
      <c r="P126">
        <f t="shared" si="26"/>
        <v>10</v>
      </c>
      <c r="Q126">
        <f t="shared" si="27"/>
        <v>7.4821356590567628E-2</v>
      </c>
      <c r="R126" t="e" cm="1">
        <f t="array" ref="R126">_xlfn.IFS(Q126&gt;0.9,0,Q126&lt;0.01,0)</f>
        <v>#N/A</v>
      </c>
      <c r="AA126">
        <v>31</v>
      </c>
      <c r="AB126">
        <v>25.5</v>
      </c>
      <c r="AC126">
        <f t="shared" si="28"/>
        <v>18</v>
      </c>
      <c r="AD126">
        <f t="shared" si="29"/>
        <v>2.7390954079871126E-2</v>
      </c>
      <c r="AE126" t="e" cm="1">
        <f t="array" ref="AE126">_xlfn.IFS(AD126&gt;0.9,0,AD126&lt;0.01,0)</f>
        <v>#N/A</v>
      </c>
      <c r="AN126">
        <v>32</v>
      </c>
      <c r="AO126">
        <v>27.5</v>
      </c>
      <c r="AP126">
        <f t="shared" si="30"/>
        <v>22.5</v>
      </c>
      <c r="AQ126">
        <f t="shared" si="31"/>
        <v>7.0284815699310655E-3</v>
      </c>
      <c r="AR126" cm="1">
        <f t="array" ref="AR126">_xlfn.IFS(AQ126&gt;0.9,0,AQ126&lt;0.01,0)</f>
        <v>0</v>
      </c>
      <c r="BA126">
        <v>32</v>
      </c>
      <c r="BB126">
        <v>12</v>
      </c>
      <c r="BC126">
        <f t="shared" si="32"/>
        <v>14.25</v>
      </c>
      <c r="BD126">
        <f t="shared" si="33"/>
        <v>5.456613824018855E-2</v>
      </c>
      <c r="BE126" t="e" cm="1">
        <f t="array" ref="BE126">_xlfn.IFS(BD126&gt;0.9,0,BD126&lt;0.01,0)</f>
        <v>#N/A</v>
      </c>
      <c r="BN126">
        <v>32</v>
      </c>
      <c r="BO126">
        <v>88.5</v>
      </c>
      <c r="BP126">
        <f t="shared" si="34"/>
        <v>17</v>
      </c>
      <c r="BQ126">
        <f t="shared" si="35"/>
        <v>2.5266816112460542E-2</v>
      </c>
      <c r="BR126" t="e" cm="1">
        <f t="array" ref="BR126">_xlfn.IFS(BQ126&gt;0.9,0,BQ126&lt;0.01,0)</f>
        <v>#N/A</v>
      </c>
      <c r="CA126">
        <v>32</v>
      </c>
      <c r="CB126">
        <v>12</v>
      </c>
      <c r="CC126">
        <f t="shared" si="36"/>
        <v>8.75</v>
      </c>
      <c r="CD126">
        <f t="shared" si="37"/>
        <v>4.1905376498285109E-2</v>
      </c>
      <c r="CE126" t="e" cm="1">
        <f t="array" ref="CE126">_xlfn.IFS(CD126&gt;0.9,0,CD126&lt;0.01,0)</f>
        <v>#N/A</v>
      </c>
      <c r="CN126">
        <v>32</v>
      </c>
      <c r="CO126">
        <v>96.25</v>
      </c>
      <c r="CP126">
        <f t="shared" si="38"/>
        <v>18</v>
      </c>
      <c r="CQ126">
        <f t="shared" si="39"/>
        <v>1.0234559762899056E-3</v>
      </c>
      <c r="CR126" cm="1">
        <f t="array" ref="CR126">_xlfn.IFS(CQ126&gt;0.9,0,CQ126&lt;0.01,0)</f>
        <v>0</v>
      </c>
      <c r="DA126">
        <v>32</v>
      </c>
      <c r="DB126">
        <v>97.5</v>
      </c>
      <c r="DC126">
        <f t="shared" si="40"/>
        <v>17.25</v>
      </c>
      <c r="DD126">
        <f t="shared" si="41"/>
        <v>4.9573207870275649E-3</v>
      </c>
      <c r="DE126" cm="1">
        <f t="array" ref="DE126">_xlfn.IFS(DD126&gt;0.9,0,DD126&lt;0.01,0)</f>
        <v>0</v>
      </c>
      <c r="DN126">
        <v>32</v>
      </c>
      <c r="DO126">
        <v>99.5</v>
      </c>
      <c r="DP126">
        <f t="shared" si="42"/>
        <v>18.75</v>
      </c>
      <c r="DQ126">
        <f t="shared" si="43"/>
        <v>3.2416909925266591E-3</v>
      </c>
      <c r="DR126" cm="1">
        <f t="array" ref="DR126">_xlfn.IFS(DQ126&gt;0.9,0,DQ126&lt;0.01,0)</f>
        <v>0</v>
      </c>
    </row>
    <row r="127" spans="1:122" x14ac:dyDescent="0.4">
      <c r="A127">
        <v>32.25</v>
      </c>
      <c r="B127">
        <v>99.75</v>
      </c>
      <c r="C127">
        <f t="shared" si="24"/>
        <v>20.05</v>
      </c>
      <c r="D127">
        <f t="shared" si="25"/>
        <v>9.0722813777418534E-4</v>
      </c>
      <c r="E127" cm="1">
        <f t="array" ref="E127">_xlfn.IFS(D127&gt;0.9,0,D127&lt;0.01,0)</f>
        <v>0</v>
      </c>
      <c r="N127">
        <v>32.25</v>
      </c>
      <c r="O127">
        <v>14.25</v>
      </c>
      <c r="P127">
        <f t="shared" si="26"/>
        <v>10.25</v>
      </c>
      <c r="Q127">
        <f t="shared" si="27"/>
        <v>7.2177067682949181E-2</v>
      </c>
      <c r="R127" t="e" cm="1">
        <f t="array" ref="R127">_xlfn.IFS(Q127&gt;0.9,0,Q127&lt;0.01,0)</f>
        <v>#N/A</v>
      </c>
      <c r="AA127">
        <v>31.250999999999998</v>
      </c>
      <c r="AB127">
        <v>25.5</v>
      </c>
      <c r="AC127">
        <f t="shared" si="28"/>
        <v>18.250999999999998</v>
      </c>
      <c r="AD127">
        <f t="shared" si="29"/>
        <v>2.7390954079871126E-2</v>
      </c>
      <c r="AE127" t="e" cm="1">
        <f t="array" ref="AE127">_xlfn.IFS(AD127&gt;0.9,0,AD127&lt;0.01,0)</f>
        <v>#N/A</v>
      </c>
      <c r="AN127">
        <v>32.25</v>
      </c>
      <c r="AO127">
        <v>27.5</v>
      </c>
      <c r="AP127">
        <f t="shared" si="30"/>
        <v>22.75</v>
      </c>
      <c r="AQ127">
        <f t="shared" si="31"/>
        <v>7.0284815699310655E-3</v>
      </c>
      <c r="AR127" cm="1">
        <f t="array" ref="AR127">_xlfn.IFS(AQ127&gt;0.9,0,AQ127&lt;0.01,0)</f>
        <v>0</v>
      </c>
      <c r="BA127">
        <v>32.25</v>
      </c>
      <c r="BB127">
        <v>11.75</v>
      </c>
      <c r="BC127">
        <f t="shared" si="32"/>
        <v>14.5</v>
      </c>
      <c r="BD127">
        <f t="shared" si="33"/>
        <v>5.1875900726951349E-2</v>
      </c>
      <c r="BE127" t="e" cm="1">
        <f t="array" ref="BE127">_xlfn.IFS(BD127&gt;0.9,0,BD127&lt;0.01,0)</f>
        <v>#N/A</v>
      </c>
      <c r="BN127">
        <v>32.25</v>
      </c>
      <c r="BO127">
        <v>88.75</v>
      </c>
      <c r="BP127">
        <f t="shared" si="34"/>
        <v>17.25</v>
      </c>
      <c r="BQ127">
        <f t="shared" si="35"/>
        <v>2.2291471411367059E-2</v>
      </c>
      <c r="BR127" t="e" cm="1">
        <f t="array" ref="BR127">_xlfn.IFS(BQ127&gt;0.9,0,BQ127&lt;0.01,0)</f>
        <v>#N/A</v>
      </c>
      <c r="CA127">
        <v>32.25</v>
      </c>
      <c r="CB127">
        <v>12</v>
      </c>
      <c r="CC127">
        <f t="shared" si="36"/>
        <v>9</v>
      </c>
      <c r="CD127">
        <f t="shared" si="37"/>
        <v>4.1905376498285109E-2</v>
      </c>
      <c r="CE127" t="e" cm="1">
        <f t="array" ref="CE127">_xlfn.IFS(CD127&gt;0.9,0,CD127&lt;0.01,0)</f>
        <v>#N/A</v>
      </c>
      <c r="CN127">
        <v>32.25</v>
      </c>
      <c r="CO127">
        <v>96.25</v>
      </c>
      <c r="CP127">
        <f t="shared" si="38"/>
        <v>18.25</v>
      </c>
      <c r="CQ127">
        <f t="shared" si="39"/>
        <v>1.0234559762899056E-3</v>
      </c>
      <c r="CR127" cm="1">
        <f t="array" ref="CR127">_xlfn.IFS(CQ127&gt;0.9,0,CQ127&lt;0.01,0)</f>
        <v>0</v>
      </c>
      <c r="DA127">
        <v>32.25</v>
      </c>
      <c r="DB127">
        <v>97.5</v>
      </c>
      <c r="DC127">
        <f t="shared" si="40"/>
        <v>17.5</v>
      </c>
      <c r="DD127">
        <f t="shared" si="41"/>
        <v>4.9573207870275649E-3</v>
      </c>
      <c r="DE127" cm="1">
        <f t="array" ref="DE127">_xlfn.IFS(DD127&gt;0.9,0,DD127&lt;0.01,0)</f>
        <v>0</v>
      </c>
      <c r="DN127">
        <v>32.25</v>
      </c>
      <c r="DO127">
        <v>99.5</v>
      </c>
      <c r="DP127">
        <f t="shared" si="42"/>
        <v>19</v>
      </c>
      <c r="DQ127">
        <f t="shared" si="43"/>
        <v>3.2416909925266591E-3</v>
      </c>
      <c r="DR127" cm="1">
        <f t="array" ref="DR127">_xlfn.IFS(DQ127&gt;0.9,0,DQ127&lt;0.01,0)</f>
        <v>0</v>
      </c>
    </row>
    <row r="128" spans="1:122" x14ac:dyDescent="0.4">
      <c r="A128">
        <v>32.5</v>
      </c>
      <c r="B128">
        <v>99.75</v>
      </c>
      <c r="C128">
        <f t="shared" si="24"/>
        <v>20.3</v>
      </c>
      <c r="D128">
        <f t="shared" si="25"/>
        <v>9.0722813777418534E-4</v>
      </c>
      <c r="E128" cm="1">
        <f t="array" ref="E128">_xlfn.IFS(D128&gt;0.9,0,D128&lt;0.01,0)</f>
        <v>0</v>
      </c>
      <c r="N128">
        <v>32.5</v>
      </c>
      <c r="O128">
        <v>14.25</v>
      </c>
      <c r="P128">
        <f t="shared" si="26"/>
        <v>10.5</v>
      </c>
      <c r="Q128">
        <f t="shared" si="27"/>
        <v>7.2177067682949181E-2</v>
      </c>
      <c r="R128" t="e" cm="1">
        <f t="array" ref="R128">_xlfn.IFS(Q128&gt;0.9,0,Q128&lt;0.01,0)</f>
        <v>#N/A</v>
      </c>
      <c r="AA128">
        <v>31.5</v>
      </c>
      <c r="AB128">
        <v>25.5</v>
      </c>
      <c r="AC128">
        <f t="shared" si="28"/>
        <v>18.5</v>
      </c>
      <c r="AD128">
        <f t="shared" si="29"/>
        <v>2.7390954079871126E-2</v>
      </c>
      <c r="AE128" t="e" cm="1">
        <f t="array" ref="AE128">_xlfn.IFS(AD128&gt;0.9,0,AD128&lt;0.01,0)</f>
        <v>#N/A</v>
      </c>
      <c r="AN128">
        <v>32.5</v>
      </c>
      <c r="AO128">
        <v>27.5</v>
      </c>
      <c r="AP128">
        <f t="shared" si="30"/>
        <v>23</v>
      </c>
      <c r="AQ128">
        <f t="shared" si="31"/>
        <v>7.0284815699310655E-3</v>
      </c>
      <c r="AR128" cm="1">
        <f t="array" ref="AR128">_xlfn.IFS(AQ128&gt;0.9,0,AQ128&lt;0.01,0)</f>
        <v>0</v>
      </c>
      <c r="BA128">
        <v>32.5</v>
      </c>
      <c r="BB128">
        <v>11.5</v>
      </c>
      <c r="BC128">
        <f t="shared" si="32"/>
        <v>14.75</v>
      </c>
      <c r="BD128">
        <f t="shared" si="33"/>
        <v>4.9185663213714141E-2</v>
      </c>
      <c r="BE128" t="e" cm="1">
        <f t="array" ref="BE128">_xlfn.IFS(BD128&gt;0.9,0,BD128&lt;0.01,0)</f>
        <v>#N/A</v>
      </c>
      <c r="BN128">
        <v>32.5</v>
      </c>
      <c r="BO128">
        <v>88.75</v>
      </c>
      <c r="BP128">
        <f t="shared" si="34"/>
        <v>17.5</v>
      </c>
      <c r="BQ128">
        <f t="shared" si="35"/>
        <v>2.2291471411367059E-2</v>
      </c>
      <c r="BR128" t="e" cm="1">
        <f t="array" ref="BR128">_xlfn.IFS(BQ128&gt;0.9,0,BQ128&lt;0.01,0)</f>
        <v>#N/A</v>
      </c>
      <c r="CA128">
        <v>32.5</v>
      </c>
      <c r="CB128">
        <v>11.75</v>
      </c>
      <c r="CC128">
        <f t="shared" si="36"/>
        <v>9.25</v>
      </c>
      <c r="CD128">
        <f t="shared" si="37"/>
        <v>3.8927329437493274E-2</v>
      </c>
      <c r="CE128" t="e" cm="1">
        <f t="array" ref="CE128">_xlfn.IFS(CD128&gt;0.9,0,CD128&lt;0.01,0)</f>
        <v>#N/A</v>
      </c>
      <c r="CN128">
        <v>32.5</v>
      </c>
      <c r="CO128">
        <v>96</v>
      </c>
      <c r="CP128">
        <f t="shared" si="38"/>
        <v>18.5</v>
      </c>
      <c r="CQ128">
        <f t="shared" si="39"/>
        <v>3.8059769118281707E-3</v>
      </c>
      <c r="CR128" cm="1">
        <f t="array" ref="CR128">_xlfn.IFS(CQ128&gt;0.9,0,CQ128&lt;0.01,0)</f>
        <v>0</v>
      </c>
      <c r="DA128">
        <v>32.5</v>
      </c>
      <c r="DB128">
        <v>97.5</v>
      </c>
      <c r="DC128">
        <f t="shared" si="40"/>
        <v>17.75</v>
      </c>
      <c r="DD128">
        <f t="shared" si="41"/>
        <v>4.9573207870275649E-3</v>
      </c>
      <c r="DE128" cm="1">
        <f t="array" ref="DE128">_xlfn.IFS(DD128&gt;0.9,0,DD128&lt;0.01,0)</f>
        <v>0</v>
      </c>
      <c r="DN128">
        <v>32.5</v>
      </c>
      <c r="DO128">
        <v>99.5</v>
      </c>
      <c r="DP128">
        <f t="shared" si="42"/>
        <v>19.25</v>
      </c>
      <c r="DQ128">
        <f t="shared" si="43"/>
        <v>3.2416909925266591E-3</v>
      </c>
      <c r="DR128" cm="1">
        <f t="array" ref="DR128">_xlfn.IFS(DQ128&gt;0.9,0,DQ128&lt;0.01,0)</f>
        <v>0</v>
      </c>
    </row>
    <row r="129" spans="1:122" x14ac:dyDescent="0.4">
      <c r="A129">
        <v>32.75</v>
      </c>
      <c r="B129">
        <v>99.75</v>
      </c>
      <c r="C129">
        <f t="shared" si="24"/>
        <v>20.55</v>
      </c>
      <c r="D129">
        <f t="shared" si="25"/>
        <v>9.0722813777418534E-4</v>
      </c>
      <c r="E129" cm="1">
        <f t="array" ref="E129">_xlfn.IFS(D129&gt;0.9,0,D129&lt;0.01,0)</f>
        <v>0</v>
      </c>
      <c r="N129">
        <v>32.75</v>
      </c>
      <c r="O129">
        <v>13.75</v>
      </c>
      <c r="P129">
        <f t="shared" si="26"/>
        <v>10.75</v>
      </c>
      <c r="Q129">
        <f t="shared" si="27"/>
        <v>6.6888489867712272E-2</v>
      </c>
      <c r="R129" t="e" cm="1">
        <f t="array" ref="R129">_xlfn.IFS(Q129&gt;0.9,0,Q129&lt;0.01,0)</f>
        <v>#N/A</v>
      </c>
      <c r="AA129">
        <v>31.75</v>
      </c>
      <c r="AB129">
        <v>25.5</v>
      </c>
      <c r="AC129">
        <f t="shared" si="28"/>
        <v>18.75</v>
      </c>
      <c r="AD129">
        <f t="shared" si="29"/>
        <v>2.7390954079871126E-2</v>
      </c>
      <c r="AE129" t="e" cm="1">
        <f t="array" ref="AE129">_xlfn.IFS(AD129&gt;0.9,0,AD129&lt;0.01,0)</f>
        <v>#N/A</v>
      </c>
      <c r="AN129">
        <v>32.75</v>
      </c>
      <c r="AO129">
        <v>27.5</v>
      </c>
      <c r="AP129">
        <f t="shared" si="30"/>
        <v>23.25</v>
      </c>
      <c r="AQ129">
        <f t="shared" si="31"/>
        <v>7.0284815699310655E-3</v>
      </c>
      <c r="AR129" cm="1">
        <f t="array" ref="AR129">_xlfn.IFS(AQ129&gt;0.9,0,AQ129&lt;0.01,0)</f>
        <v>0</v>
      </c>
      <c r="BA129">
        <v>32.75</v>
      </c>
      <c r="BB129">
        <v>11.25</v>
      </c>
      <c r="BC129">
        <f t="shared" si="32"/>
        <v>15</v>
      </c>
      <c r="BD129">
        <f t="shared" si="33"/>
        <v>4.649542570047694E-2</v>
      </c>
      <c r="BE129" t="e" cm="1">
        <f t="array" ref="BE129">_xlfn.IFS(BD129&gt;0.9,0,BD129&lt;0.01,0)</f>
        <v>#N/A</v>
      </c>
      <c r="BN129">
        <v>32.75</v>
      </c>
      <c r="BO129">
        <v>89</v>
      </c>
      <c r="BP129">
        <f t="shared" si="34"/>
        <v>17.75</v>
      </c>
      <c r="BQ129">
        <f t="shared" si="35"/>
        <v>1.9316126710273576E-2</v>
      </c>
      <c r="BR129" t="e" cm="1">
        <f t="array" ref="BR129">_xlfn.IFS(BQ129&gt;0.9,0,BQ129&lt;0.01,0)</f>
        <v>#N/A</v>
      </c>
      <c r="CA129">
        <v>32.75</v>
      </c>
      <c r="CB129">
        <v>11.75</v>
      </c>
      <c r="CC129">
        <f t="shared" si="36"/>
        <v>9.5</v>
      </c>
      <c r="CD129">
        <f t="shared" si="37"/>
        <v>3.8927329437493274E-2</v>
      </c>
      <c r="CE129" t="e" cm="1">
        <f t="array" ref="CE129">_xlfn.IFS(CD129&gt;0.9,0,CD129&lt;0.01,0)</f>
        <v>#N/A</v>
      </c>
      <c r="CN129">
        <v>32.75</v>
      </c>
      <c r="CO129">
        <v>96</v>
      </c>
      <c r="CP129">
        <f t="shared" si="38"/>
        <v>18.75</v>
      </c>
      <c r="CQ129">
        <f t="shared" si="39"/>
        <v>3.8059769118281707E-3</v>
      </c>
      <c r="CR129" cm="1">
        <f t="array" ref="CR129">_xlfn.IFS(CQ129&gt;0.9,0,CQ129&lt;0.01,0)</f>
        <v>0</v>
      </c>
      <c r="DA129">
        <v>32.75</v>
      </c>
      <c r="DB129">
        <v>97.75</v>
      </c>
      <c r="DC129">
        <f t="shared" si="40"/>
        <v>18</v>
      </c>
      <c r="DD129">
        <f t="shared" si="41"/>
        <v>2.1449945713099623E-3</v>
      </c>
      <c r="DE129" cm="1">
        <f t="array" ref="DE129">_xlfn.IFS(DD129&gt;0.9,0,DD129&lt;0.01,0)</f>
        <v>0</v>
      </c>
      <c r="DN129">
        <v>32.75</v>
      </c>
      <c r="DO129">
        <v>99.5</v>
      </c>
      <c r="DP129">
        <f t="shared" si="42"/>
        <v>19.5</v>
      </c>
      <c r="DQ129">
        <f t="shared" si="43"/>
        <v>3.2416909925266591E-3</v>
      </c>
      <c r="DR129" cm="1">
        <f t="array" ref="DR129">_xlfn.IFS(DQ129&gt;0.9,0,DQ129&lt;0.01,0)</f>
        <v>0</v>
      </c>
    </row>
    <row r="130" spans="1:122" x14ac:dyDescent="0.4">
      <c r="A130">
        <v>33</v>
      </c>
      <c r="B130">
        <v>99.75</v>
      </c>
      <c r="C130">
        <f t="shared" si="24"/>
        <v>20.8</v>
      </c>
      <c r="D130">
        <f t="shared" si="25"/>
        <v>9.0722813777418534E-4</v>
      </c>
      <c r="E130" cm="1">
        <f t="array" ref="E130">_xlfn.IFS(D130&gt;0.9,0,D130&lt;0.01,0)</f>
        <v>0</v>
      </c>
      <c r="N130">
        <v>33</v>
      </c>
      <c r="O130">
        <v>13.5</v>
      </c>
      <c r="P130">
        <f t="shared" si="26"/>
        <v>11</v>
      </c>
      <c r="Q130">
        <f t="shared" si="27"/>
        <v>6.4244200960093811E-2</v>
      </c>
      <c r="R130" t="e" cm="1">
        <f t="array" ref="R130">_xlfn.IFS(Q130&gt;0.9,0,Q130&lt;0.01,0)</f>
        <v>#N/A</v>
      </c>
      <c r="AA130">
        <v>32</v>
      </c>
      <c r="AB130">
        <v>25.5</v>
      </c>
      <c r="AC130">
        <f t="shared" si="28"/>
        <v>19</v>
      </c>
      <c r="AD130">
        <f t="shared" si="29"/>
        <v>2.7390954079871126E-2</v>
      </c>
      <c r="AE130" t="e" cm="1">
        <f t="array" ref="AE130">_xlfn.IFS(AD130&gt;0.9,0,AD130&lt;0.01,0)</f>
        <v>#N/A</v>
      </c>
      <c r="AN130">
        <v>33</v>
      </c>
      <c r="AO130">
        <v>27.5</v>
      </c>
      <c r="AP130">
        <f t="shared" si="30"/>
        <v>23.5</v>
      </c>
      <c r="AQ130">
        <f t="shared" si="31"/>
        <v>7.0284815699310655E-3</v>
      </c>
      <c r="AR130" cm="1">
        <f t="array" ref="AR130">_xlfn.IFS(AQ130&gt;0.9,0,AQ130&lt;0.01,0)</f>
        <v>0</v>
      </c>
      <c r="BA130">
        <v>33</v>
      </c>
      <c r="BB130">
        <v>11</v>
      </c>
      <c r="BC130">
        <f t="shared" si="32"/>
        <v>15.25</v>
      </c>
      <c r="BD130">
        <f t="shared" si="33"/>
        <v>4.3805188187239739E-2</v>
      </c>
      <c r="BE130" t="e" cm="1">
        <f t="array" ref="BE130">_xlfn.IFS(BD130&gt;0.9,0,BD130&lt;0.01,0)</f>
        <v>#N/A</v>
      </c>
      <c r="BN130">
        <v>33</v>
      </c>
      <c r="BO130">
        <v>89</v>
      </c>
      <c r="BP130">
        <f t="shared" si="34"/>
        <v>18</v>
      </c>
      <c r="BQ130">
        <f t="shared" si="35"/>
        <v>1.9316126710273576E-2</v>
      </c>
      <c r="BR130" t="e" cm="1">
        <f t="array" ref="BR130">_xlfn.IFS(BQ130&gt;0.9,0,BQ130&lt;0.01,0)</f>
        <v>#N/A</v>
      </c>
      <c r="CA130">
        <v>33</v>
      </c>
      <c r="CB130">
        <v>11.75</v>
      </c>
      <c r="CC130">
        <f t="shared" si="36"/>
        <v>9.75</v>
      </c>
      <c r="CD130">
        <f t="shared" si="37"/>
        <v>3.8927329437493274E-2</v>
      </c>
      <c r="CE130" t="e" cm="1">
        <f t="array" ref="CE130">_xlfn.IFS(CD130&gt;0.9,0,CD130&lt;0.01,0)</f>
        <v>#N/A</v>
      </c>
      <c r="CN130">
        <v>33</v>
      </c>
      <c r="CO130">
        <v>96</v>
      </c>
      <c r="CP130">
        <f t="shared" si="38"/>
        <v>19</v>
      </c>
      <c r="CQ130">
        <f t="shared" si="39"/>
        <v>3.8059769118281707E-3</v>
      </c>
      <c r="CR130" cm="1">
        <f t="array" ref="CR130">_xlfn.IFS(CQ130&gt;0.9,0,CQ130&lt;0.01,0)</f>
        <v>0</v>
      </c>
      <c r="DA130">
        <v>33</v>
      </c>
      <c r="DB130">
        <v>97.75</v>
      </c>
      <c r="DC130">
        <f t="shared" si="40"/>
        <v>18.25</v>
      </c>
      <c r="DD130">
        <f t="shared" si="41"/>
        <v>2.1449945713099623E-3</v>
      </c>
      <c r="DE130" cm="1">
        <f t="array" ref="DE130">_xlfn.IFS(DD130&gt;0.9,0,DD130&lt;0.01,0)</f>
        <v>0</v>
      </c>
      <c r="DN130">
        <v>33</v>
      </c>
      <c r="DO130">
        <v>99.5</v>
      </c>
      <c r="DP130">
        <f t="shared" si="42"/>
        <v>19.75</v>
      </c>
      <c r="DQ130">
        <f t="shared" si="43"/>
        <v>3.2416909925266591E-3</v>
      </c>
      <c r="DR130" cm="1">
        <f t="array" ref="DR130">_xlfn.IFS(DQ130&gt;0.9,0,DQ130&lt;0.01,0)</f>
        <v>0</v>
      </c>
    </row>
    <row r="131" spans="1:122" x14ac:dyDescent="0.4">
      <c r="A131">
        <v>33.25</v>
      </c>
      <c r="B131">
        <v>99.75</v>
      </c>
      <c r="C131">
        <f t="shared" ref="C131:C184" si="44">A131-$H$5</f>
        <v>21.05</v>
      </c>
      <c r="D131">
        <f t="shared" ref="D131:D184" si="45">(B131-$H$2)/($H$1-$H$2)</f>
        <v>9.0722813777418534E-4</v>
      </c>
      <c r="E131" cm="1">
        <f t="array" ref="E131">_xlfn.IFS(D131&gt;0.9,0,D131&lt;0.01,0)</f>
        <v>0</v>
      </c>
      <c r="N131">
        <v>33.25</v>
      </c>
      <c r="O131">
        <v>13.25</v>
      </c>
      <c r="P131">
        <f t="shared" ref="P131:P194" si="46">N131-$T$5</f>
        <v>11.25</v>
      </c>
      <c r="Q131">
        <f t="shared" ref="Q131:Q194" si="47">(O131-$T$2)/($T$1-$T$2)</f>
        <v>6.1599912052475357E-2</v>
      </c>
      <c r="R131" t="e" cm="1">
        <f t="array" ref="R131">_xlfn.IFS(Q131&gt;0.9,0,Q131&lt;0.01,0)</f>
        <v>#N/A</v>
      </c>
      <c r="AA131">
        <v>32.25</v>
      </c>
      <c r="AB131">
        <v>25.75</v>
      </c>
      <c r="AC131">
        <f t="shared" ref="AC131:AC194" si="48">AA131-$AH$5</f>
        <v>19.25</v>
      </c>
      <c r="AD131">
        <f t="shared" ref="AD131:AD194" si="49">(AB131-$AH$2)/($AH$1-$AH$2)</f>
        <v>1.4184601219933275E-2</v>
      </c>
      <c r="AE131" t="e" cm="1">
        <f t="array" ref="AE131">_xlfn.IFS(AD131&gt;0.9,0,AD131&lt;0.01,0)</f>
        <v>#N/A</v>
      </c>
      <c r="AN131">
        <v>33.25</v>
      </c>
      <c r="AO131">
        <v>27.5</v>
      </c>
      <c r="AP131">
        <f t="shared" ref="AP131:AP194" si="50">AN131-$AT$5</f>
        <v>23.75</v>
      </c>
      <c r="AQ131">
        <f t="shared" ref="AQ131:AQ194" si="51">(AO131-$AT$2)/($AT$1-$AT$2)</f>
        <v>7.0284815699310655E-3</v>
      </c>
      <c r="AR131" cm="1">
        <f t="array" ref="AR131">_xlfn.IFS(AQ131&gt;0.9,0,AQ131&lt;0.01,0)</f>
        <v>0</v>
      </c>
      <c r="BA131">
        <v>33.25</v>
      </c>
      <c r="BB131">
        <v>10.75</v>
      </c>
      <c r="BC131">
        <f t="shared" ref="BC131:BC194" si="52">BA131-$BH$5</f>
        <v>15.5</v>
      </c>
      <c r="BD131">
        <f t="shared" ref="BD131:BD194" si="53">(BB131-$BH$2)/($BH$1-$BH$2)</f>
        <v>4.1114950674002532E-2</v>
      </c>
      <c r="BE131" t="e" cm="1">
        <f t="array" ref="BE131">_xlfn.IFS(BD131&gt;0.9,0,BD131&lt;0.01,0)</f>
        <v>#N/A</v>
      </c>
      <c r="BN131">
        <v>33.25</v>
      </c>
      <c r="BO131">
        <v>89</v>
      </c>
      <c r="BP131">
        <f t="shared" ref="BP131:BP194" si="54">BN131-$BT$5</f>
        <v>18.25</v>
      </c>
      <c r="BQ131">
        <f t="shared" ref="BQ131:BQ194" si="55">(BO131-$BT$2)/($BT$1-$BT$2)</f>
        <v>1.9316126710273576E-2</v>
      </c>
      <c r="BR131" t="e" cm="1">
        <f t="array" ref="BR131">_xlfn.IFS(BQ131&gt;0.9,0,BQ131&lt;0.01,0)</f>
        <v>#N/A</v>
      </c>
      <c r="CA131">
        <v>33.25</v>
      </c>
      <c r="CB131">
        <v>11.5</v>
      </c>
      <c r="CC131">
        <f t="shared" ref="CC131:CC194" si="56">CA131-$CH$5</f>
        <v>10</v>
      </c>
      <c r="CD131">
        <f t="shared" ref="CD131:CD194" si="57">(CB131-$CH$2)/($CH$1-$CH$2)</f>
        <v>3.5949282376701433E-2</v>
      </c>
      <c r="CE131" t="e" cm="1">
        <f t="array" ref="CE131">_xlfn.IFS(CD131&gt;0.9,0,CD131&lt;0.01,0)</f>
        <v>#N/A</v>
      </c>
      <c r="CN131">
        <v>33.25</v>
      </c>
      <c r="CO131">
        <v>96</v>
      </c>
      <c r="CP131">
        <f t="shared" ref="CP131:CP194" si="58">CN131-$CT$5</f>
        <v>19.25</v>
      </c>
      <c r="CQ131">
        <f t="shared" ref="CQ131:CQ194" si="59">(CO131-$CT$2)/($CT$1-$CT$2)</f>
        <v>3.8059769118281707E-3</v>
      </c>
      <c r="CR131" cm="1">
        <f t="array" ref="CR131">_xlfn.IFS(CQ131&gt;0.9,0,CQ131&lt;0.01,0)</f>
        <v>0</v>
      </c>
      <c r="DA131">
        <v>33.25</v>
      </c>
      <c r="DB131">
        <v>97.75</v>
      </c>
      <c r="DC131">
        <f t="shared" ref="DC131:DC193" si="60">DA131-$DH$5</f>
        <v>18.5</v>
      </c>
      <c r="DD131">
        <f t="shared" ref="DD131:DD193" si="61">(DB131-$DH$2)/($DH$1-$DH$2)</f>
        <v>2.1449945713099623E-3</v>
      </c>
      <c r="DE131" cm="1">
        <f t="array" ref="DE131">_xlfn.IFS(DD131&gt;0.9,0,DD131&lt;0.01,0)</f>
        <v>0</v>
      </c>
      <c r="DN131">
        <v>33.25</v>
      </c>
      <c r="DO131">
        <v>99.5</v>
      </c>
      <c r="DP131">
        <f t="shared" ref="DP131:DP194" si="62">DN131-$DT$5</f>
        <v>20</v>
      </c>
      <c r="DQ131">
        <f t="shared" ref="DQ131:DQ194" si="63">(DO131-$DT$2)/($DT$1-$DT$2)</f>
        <v>3.2416909925266591E-3</v>
      </c>
      <c r="DR131" cm="1">
        <f t="array" ref="DR131">_xlfn.IFS(DQ131&gt;0.9,0,DQ131&lt;0.01,0)</f>
        <v>0</v>
      </c>
    </row>
    <row r="132" spans="1:122" x14ac:dyDescent="0.4">
      <c r="A132">
        <v>33.5</v>
      </c>
      <c r="B132">
        <v>99.75</v>
      </c>
      <c r="C132">
        <f t="shared" si="44"/>
        <v>21.3</v>
      </c>
      <c r="D132">
        <f t="shared" si="45"/>
        <v>9.0722813777418534E-4</v>
      </c>
      <c r="E132" cm="1">
        <f t="array" ref="E132">_xlfn.IFS(D132&gt;0.9,0,D132&lt;0.01,0)</f>
        <v>0</v>
      </c>
      <c r="N132">
        <v>33.5</v>
      </c>
      <c r="O132">
        <v>13.25</v>
      </c>
      <c r="P132">
        <f t="shared" si="46"/>
        <v>11.5</v>
      </c>
      <c r="Q132">
        <f t="shared" si="47"/>
        <v>6.1599912052475357E-2</v>
      </c>
      <c r="R132" t="e" cm="1">
        <f t="array" ref="R132">_xlfn.IFS(Q132&gt;0.9,0,Q132&lt;0.01,0)</f>
        <v>#N/A</v>
      </c>
      <c r="AA132">
        <v>32.5</v>
      </c>
      <c r="AB132">
        <v>25.75</v>
      </c>
      <c r="AC132">
        <f t="shared" si="48"/>
        <v>19.5</v>
      </c>
      <c r="AD132">
        <f t="shared" si="49"/>
        <v>1.4184601219933275E-2</v>
      </c>
      <c r="AE132" t="e" cm="1">
        <f t="array" ref="AE132">_xlfn.IFS(AD132&gt;0.9,0,AD132&lt;0.01,0)</f>
        <v>#N/A</v>
      </c>
      <c r="AN132">
        <v>33.5</v>
      </c>
      <c r="AO132">
        <v>27.5</v>
      </c>
      <c r="AP132">
        <f t="shared" si="50"/>
        <v>24</v>
      </c>
      <c r="AQ132">
        <f t="shared" si="51"/>
        <v>7.0284815699310655E-3</v>
      </c>
      <c r="AR132" cm="1">
        <f t="array" ref="AR132">_xlfn.IFS(AQ132&gt;0.9,0,AQ132&lt;0.01,0)</f>
        <v>0</v>
      </c>
      <c r="BA132">
        <v>33.5</v>
      </c>
      <c r="BB132">
        <v>10.75</v>
      </c>
      <c r="BC132">
        <f t="shared" si="52"/>
        <v>15.75</v>
      </c>
      <c r="BD132">
        <f t="shared" si="53"/>
        <v>4.1114950674002532E-2</v>
      </c>
      <c r="BE132" t="e" cm="1">
        <f t="array" ref="BE132">_xlfn.IFS(BD132&gt;0.9,0,BD132&lt;0.01,0)</f>
        <v>#N/A</v>
      </c>
      <c r="BN132">
        <v>33.5</v>
      </c>
      <c r="BO132">
        <v>89.25</v>
      </c>
      <c r="BP132">
        <f t="shared" si="54"/>
        <v>18.5</v>
      </c>
      <c r="BQ132">
        <f t="shared" si="55"/>
        <v>1.6340782009180092E-2</v>
      </c>
      <c r="BR132" t="e" cm="1">
        <f t="array" ref="BR132">_xlfn.IFS(BQ132&gt;0.9,0,BQ132&lt;0.01,0)</f>
        <v>#N/A</v>
      </c>
      <c r="CA132">
        <v>33.5</v>
      </c>
      <c r="CB132">
        <v>11.5</v>
      </c>
      <c r="CC132">
        <f t="shared" si="56"/>
        <v>10.25</v>
      </c>
      <c r="CD132">
        <f t="shared" si="57"/>
        <v>3.5949282376701433E-2</v>
      </c>
      <c r="CE132" t="e" cm="1">
        <f t="array" ref="CE132">_xlfn.IFS(CD132&gt;0.9,0,CD132&lt;0.01,0)</f>
        <v>#N/A</v>
      </c>
      <c r="CN132">
        <v>33.5</v>
      </c>
      <c r="CO132">
        <v>96.25</v>
      </c>
      <c r="CP132">
        <f t="shared" si="58"/>
        <v>19.5</v>
      </c>
      <c r="CQ132">
        <f t="shared" si="59"/>
        <v>1.0234559762899056E-3</v>
      </c>
      <c r="CR132" cm="1">
        <f t="array" ref="CR132">_xlfn.IFS(CQ132&gt;0.9,0,CQ132&lt;0.01,0)</f>
        <v>0</v>
      </c>
      <c r="DA132">
        <v>33.5</v>
      </c>
      <c r="DB132">
        <v>97.75</v>
      </c>
      <c r="DC132">
        <f t="shared" si="60"/>
        <v>18.75</v>
      </c>
      <c r="DD132">
        <f t="shared" si="61"/>
        <v>2.1449945713099623E-3</v>
      </c>
      <c r="DE132" cm="1">
        <f t="array" ref="DE132">_xlfn.IFS(DD132&gt;0.9,0,DD132&lt;0.01,0)</f>
        <v>0</v>
      </c>
      <c r="DN132">
        <v>33.5</v>
      </c>
      <c r="DO132">
        <v>99.5</v>
      </c>
      <c r="DP132">
        <f t="shared" si="62"/>
        <v>20.25</v>
      </c>
      <c r="DQ132">
        <f t="shared" si="63"/>
        <v>3.2416909925266591E-3</v>
      </c>
      <c r="DR132" cm="1">
        <f t="array" ref="DR132">_xlfn.IFS(DQ132&gt;0.9,0,DQ132&lt;0.01,0)</f>
        <v>0</v>
      </c>
    </row>
    <row r="133" spans="1:122" x14ac:dyDescent="0.4">
      <c r="A133">
        <v>33.75</v>
      </c>
      <c r="B133">
        <v>99.75</v>
      </c>
      <c r="C133">
        <f t="shared" si="44"/>
        <v>21.55</v>
      </c>
      <c r="D133">
        <f t="shared" si="45"/>
        <v>9.0722813777418534E-4</v>
      </c>
      <c r="E133" cm="1">
        <f t="array" ref="E133">_xlfn.IFS(D133&gt;0.9,0,D133&lt;0.01,0)</f>
        <v>0</v>
      </c>
      <c r="N133">
        <v>33.75</v>
      </c>
      <c r="O133">
        <v>12.75</v>
      </c>
      <c r="P133">
        <f t="shared" si="46"/>
        <v>11.75</v>
      </c>
      <c r="Q133">
        <f t="shared" si="47"/>
        <v>5.6311334237238449E-2</v>
      </c>
      <c r="R133" t="e" cm="1">
        <f t="array" ref="R133">_xlfn.IFS(Q133&gt;0.9,0,Q133&lt;0.01,0)</f>
        <v>#N/A</v>
      </c>
      <c r="AA133">
        <v>32.75</v>
      </c>
      <c r="AB133">
        <v>25.75</v>
      </c>
      <c r="AC133">
        <f t="shared" si="48"/>
        <v>19.75</v>
      </c>
      <c r="AD133">
        <f t="shared" si="49"/>
        <v>1.4184601219933275E-2</v>
      </c>
      <c r="AE133" t="e" cm="1">
        <f t="array" ref="AE133">_xlfn.IFS(AD133&gt;0.9,0,AD133&lt;0.01,0)</f>
        <v>#N/A</v>
      </c>
      <c r="AN133">
        <v>33.75</v>
      </c>
      <c r="AO133">
        <v>27.5</v>
      </c>
      <c r="AP133">
        <f t="shared" si="50"/>
        <v>24.25</v>
      </c>
      <c r="AQ133">
        <f t="shared" si="51"/>
        <v>7.0284815699310655E-3</v>
      </c>
      <c r="AR133" cm="1">
        <f t="array" ref="AR133">_xlfn.IFS(AQ133&gt;0.9,0,AQ133&lt;0.01,0)</f>
        <v>0</v>
      </c>
      <c r="BA133">
        <v>33.75</v>
      </c>
      <c r="BB133">
        <v>10.5</v>
      </c>
      <c r="BC133">
        <f t="shared" si="52"/>
        <v>16</v>
      </c>
      <c r="BD133">
        <f t="shared" si="53"/>
        <v>3.8424713160765331E-2</v>
      </c>
      <c r="BE133" t="e" cm="1">
        <f t="array" ref="BE133">_xlfn.IFS(BD133&gt;0.9,0,BD133&lt;0.01,0)</f>
        <v>#N/A</v>
      </c>
      <c r="BN133">
        <v>33.75</v>
      </c>
      <c r="BO133">
        <v>89.25</v>
      </c>
      <c r="BP133">
        <f t="shared" si="54"/>
        <v>18.75</v>
      </c>
      <c r="BQ133">
        <f t="shared" si="55"/>
        <v>1.6340782009180092E-2</v>
      </c>
      <c r="BR133" t="e" cm="1">
        <f t="array" ref="BR133">_xlfn.IFS(BQ133&gt;0.9,0,BQ133&lt;0.01,0)</f>
        <v>#N/A</v>
      </c>
      <c r="CA133">
        <v>33.75</v>
      </c>
      <c r="CB133">
        <v>11.5</v>
      </c>
      <c r="CC133">
        <f t="shared" si="56"/>
        <v>10.5</v>
      </c>
      <c r="CD133">
        <f t="shared" si="57"/>
        <v>3.5949282376701433E-2</v>
      </c>
      <c r="CE133" t="e" cm="1">
        <f t="array" ref="CE133">_xlfn.IFS(CD133&gt;0.9,0,CD133&lt;0.01,0)</f>
        <v>#N/A</v>
      </c>
      <c r="CN133">
        <v>33.75</v>
      </c>
      <c r="CO133">
        <v>96.25</v>
      </c>
      <c r="CP133">
        <f t="shared" si="58"/>
        <v>19.75</v>
      </c>
      <c r="CQ133">
        <f t="shared" si="59"/>
        <v>1.0234559762899056E-3</v>
      </c>
      <c r="CR133" cm="1">
        <f t="array" ref="CR133">_xlfn.IFS(CQ133&gt;0.9,0,CQ133&lt;0.01,0)</f>
        <v>0</v>
      </c>
      <c r="DA133">
        <v>33.75</v>
      </c>
      <c r="DB133">
        <v>97.75</v>
      </c>
      <c r="DC133">
        <f t="shared" si="60"/>
        <v>19</v>
      </c>
      <c r="DD133">
        <f t="shared" si="61"/>
        <v>2.1449945713099623E-3</v>
      </c>
      <c r="DE133" cm="1">
        <f t="array" ref="DE133">_xlfn.IFS(DD133&gt;0.9,0,DD133&lt;0.01,0)</f>
        <v>0</v>
      </c>
      <c r="DN133">
        <v>33.75</v>
      </c>
      <c r="DO133">
        <v>99.5</v>
      </c>
      <c r="DP133">
        <f t="shared" si="62"/>
        <v>20.5</v>
      </c>
      <c r="DQ133">
        <f t="shared" si="63"/>
        <v>3.2416909925266591E-3</v>
      </c>
      <c r="DR133" cm="1">
        <f t="array" ref="DR133">_xlfn.IFS(DQ133&gt;0.9,0,DQ133&lt;0.01,0)</f>
        <v>0</v>
      </c>
    </row>
    <row r="134" spans="1:122" x14ac:dyDescent="0.4">
      <c r="A134">
        <v>34</v>
      </c>
      <c r="B134">
        <v>99.75</v>
      </c>
      <c r="C134">
        <f t="shared" si="44"/>
        <v>21.8</v>
      </c>
      <c r="D134">
        <f t="shared" si="45"/>
        <v>9.0722813777418534E-4</v>
      </c>
      <c r="E134" cm="1">
        <f t="array" ref="E134">_xlfn.IFS(D134&gt;0.9,0,D134&lt;0.01,0)</f>
        <v>0</v>
      </c>
      <c r="N134">
        <v>34</v>
      </c>
      <c r="O134">
        <v>12.75</v>
      </c>
      <c r="P134">
        <f t="shared" si="46"/>
        <v>12</v>
      </c>
      <c r="Q134">
        <f t="shared" si="47"/>
        <v>5.6311334237238449E-2</v>
      </c>
      <c r="R134" t="e" cm="1">
        <f t="array" ref="R134">_xlfn.IFS(Q134&gt;0.9,0,Q134&lt;0.01,0)</f>
        <v>#N/A</v>
      </c>
      <c r="AA134">
        <v>33</v>
      </c>
      <c r="AB134">
        <v>25.75</v>
      </c>
      <c r="AC134">
        <f t="shared" si="48"/>
        <v>20</v>
      </c>
      <c r="AD134">
        <f t="shared" si="49"/>
        <v>1.4184601219933275E-2</v>
      </c>
      <c r="AE134" t="e" cm="1">
        <f t="array" ref="AE134">_xlfn.IFS(AD134&gt;0.9,0,AD134&lt;0.01,0)</f>
        <v>#N/A</v>
      </c>
      <c r="AN134">
        <v>34</v>
      </c>
      <c r="AO134">
        <v>27.25</v>
      </c>
      <c r="AP134">
        <f t="shared" si="50"/>
        <v>24.5</v>
      </c>
      <c r="AQ134">
        <f t="shared" si="51"/>
        <v>3.676436513502399E-3</v>
      </c>
      <c r="AR134" cm="1">
        <f t="array" ref="AR134">_xlfn.IFS(AQ134&gt;0.9,0,AQ134&lt;0.01,0)</f>
        <v>0</v>
      </c>
      <c r="BA134">
        <v>34</v>
      </c>
      <c r="BB134">
        <v>10.25</v>
      </c>
      <c r="BC134">
        <f t="shared" si="52"/>
        <v>16.25</v>
      </c>
      <c r="BD134">
        <f t="shared" si="53"/>
        <v>3.573447564752813E-2</v>
      </c>
      <c r="BE134" t="e" cm="1">
        <f t="array" ref="BE134">_xlfn.IFS(BD134&gt;0.9,0,BD134&lt;0.01,0)</f>
        <v>#N/A</v>
      </c>
      <c r="BN134">
        <v>34</v>
      </c>
      <c r="BO134">
        <v>89.25</v>
      </c>
      <c r="BP134">
        <f t="shared" si="54"/>
        <v>19</v>
      </c>
      <c r="BQ134">
        <f t="shared" si="55"/>
        <v>1.6340782009180092E-2</v>
      </c>
      <c r="BR134" t="e" cm="1">
        <f t="array" ref="BR134">_xlfn.IFS(BQ134&gt;0.9,0,BQ134&lt;0.01,0)</f>
        <v>#N/A</v>
      </c>
      <c r="CA134">
        <v>34</v>
      </c>
      <c r="CB134">
        <v>11.25</v>
      </c>
      <c r="CC134">
        <f t="shared" si="56"/>
        <v>10.75</v>
      </c>
      <c r="CD134">
        <f t="shared" si="57"/>
        <v>3.2971235315909599E-2</v>
      </c>
      <c r="CE134" t="e" cm="1">
        <f t="array" ref="CE134">_xlfn.IFS(CD134&gt;0.9,0,CD134&lt;0.01,0)</f>
        <v>#N/A</v>
      </c>
      <c r="CN134">
        <v>34</v>
      </c>
      <c r="CO134">
        <v>96.25</v>
      </c>
      <c r="CP134">
        <f t="shared" si="58"/>
        <v>20</v>
      </c>
      <c r="CQ134">
        <f t="shared" si="59"/>
        <v>1.0234559762899056E-3</v>
      </c>
      <c r="CR134" cm="1">
        <f t="array" ref="CR134">_xlfn.IFS(CQ134&gt;0.9,0,CQ134&lt;0.01,0)</f>
        <v>0</v>
      </c>
      <c r="DA134">
        <v>34</v>
      </c>
      <c r="DB134">
        <v>97.75</v>
      </c>
      <c r="DC134">
        <f t="shared" si="60"/>
        <v>19.25</v>
      </c>
      <c r="DD134">
        <f t="shared" si="61"/>
        <v>2.1449945713099623E-3</v>
      </c>
      <c r="DE134" cm="1">
        <f t="array" ref="DE134">_xlfn.IFS(DD134&gt;0.9,0,DD134&lt;0.01,0)</f>
        <v>0</v>
      </c>
      <c r="DN134">
        <v>34</v>
      </c>
      <c r="DO134">
        <v>99.75</v>
      </c>
      <c r="DP134">
        <f t="shared" si="62"/>
        <v>20.75</v>
      </c>
      <c r="DQ134">
        <f t="shared" si="63"/>
        <v>5.8508569133403283E-4</v>
      </c>
      <c r="DR134" cm="1">
        <f t="array" ref="DR134">_xlfn.IFS(DQ134&gt;0.9,0,DQ134&lt;0.01,0)</f>
        <v>0</v>
      </c>
    </row>
    <row r="135" spans="1:122" x14ac:dyDescent="0.4">
      <c r="A135">
        <v>34.25</v>
      </c>
      <c r="B135">
        <v>99.75</v>
      </c>
      <c r="C135">
        <f t="shared" si="44"/>
        <v>22.05</v>
      </c>
      <c r="D135">
        <f t="shared" si="45"/>
        <v>9.0722813777418534E-4</v>
      </c>
      <c r="E135" cm="1">
        <f t="array" ref="E135">_xlfn.IFS(D135&gt;0.9,0,D135&lt;0.01,0)</f>
        <v>0</v>
      </c>
      <c r="N135">
        <v>34.25</v>
      </c>
      <c r="O135">
        <v>12.5</v>
      </c>
      <c r="P135">
        <f t="shared" si="46"/>
        <v>12.25</v>
      </c>
      <c r="Q135">
        <f t="shared" si="47"/>
        <v>5.3667045329619995E-2</v>
      </c>
      <c r="R135" t="e" cm="1">
        <f t="array" ref="R135">_xlfn.IFS(Q135&gt;0.9,0,Q135&lt;0.01,0)</f>
        <v>#N/A</v>
      </c>
      <c r="AA135">
        <v>33.25</v>
      </c>
      <c r="AB135">
        <v>25.75</v>
      </c>
      <c r="AC135">
        <f t="shared" si="48"/>
        <v>20.25</v>
      </c>
      <c r="AD135">
        <f t="shared" si="49"/>
        <v>1.4184601219933275E-2</v>
      </c>
      <c r="AE135" t="e" cm="1">
        <f t="array" ref="AE135">_xlfn.IFS(AD135&gt;0.9,0,AD135&lt;0.01,0)</f>
        <v>#N/A</v>
      </c>
      <c r="AN135">
        <v>34.25</v>
      </c>
      <c r="AO135">
        <v>27.5</v>
      </c>
      <c r="AP135">
        <f t="shared" si="50"/>
        <v>24.75</v>
      </c>
      <c r="AQ135">
        <f t="shared" si="51"/>
        <v>7.0284815699310655E-3</v>
      </c>
      <c r="AR135" cm="1">
        <f t="array" ref="AR135">_xlfn.IFS(AQ135&gt;0.9,0,AQ135&lt;0.01,0)</f>
        <v>0</v>
      </c>
      <c r="BA135">
        <v>34.25</v>
      </c>
      <c r="BB135">
        <v>10.25</v>
      </c>
      <c r="BC135">
        <f t="shared" si="52"/>
        <v>16.5</v>
      </c>
      <c r="BD135">
        <f t="shared" si="53"/>
        <v>3.573447564752813E-2</v>
      </c>
      <c r="BE135" t="e" cm="1">
        <f t="array" ref="BE135">_xlfn.IFS(BD135&gt;0.9,0,BD135&lt;0.01,0)</f>
        <v>#N/A</v>
      </c>
      <c r="BN135">
        <v>34.25</v>
      </c>
      <c r="BO135">
        <v>89.25</v>
      </c>
      <c r="BP135">
        <f t="shared" si="54"/>
        <v>19.25</v>
      </c>
      <c r="BQ135">
        <f t="shared" si="55"/>
        <v>1.6340782009180092E-2</v>
      </c>
      <c r="BR135" t="e" cm="1">
        <f t="array" ref="BR135">_xlfn.IFS(BQ135&gt;0.9,0,BQ135&lt;0.01,0)</f>
        <v>#N/A</v>
      </c>
      <c r="CA135">
        <v>34.25</v>
      </c>
      <c r="CB135">
        <v>11.25</v>
      </c>
      <c r="CC135">
        <f t="shared" si="56"/>
        <v>11</v>
      </c>
      <c r="CD135">
        <f t="shared" si="57"/>
        <v>3.2971235315909599E-2</v>
      </c>
      <c r="CE135" t="e" cm="1">
        <f t="array" ref="CE135">_xlfn.IFS(CD135&gt;0.9,0,CD135&lt;0.01,0)</f>
        <v>#N/A</v>
      </c>
      <c r="CN135">
        <v>34.25</v>
      </c>
      <c r="CO135">
        <v>96.25</v>
      </c>
      <c r="CP135">
        <f t="shared" si="58"/>
        <v>20.25</v>
      </c>
      <c r="CQ135">
        <f t="shared" si="59"/>
        <v>1.0234559762899056E-3</v>
      </c>
      <c r="CR135" cm="1">
        <f t="array" ref="CR135">_xlfn.IFS(CQ135&gt;0.9,0,CQ135&lt;0.01,0)</f>
        <v>0</v>
      </c>
      <c r="DA135">
        <v>34.25</v>
      </c>
      <c r="DB135">
        <v>98</v>
      </c>
      <c r="DC135">
        <f t="shared" si="60"/>
        <v>19.5</v>
      </c>
      <c r="DD135">
        <f t="shared" si="61"/>
        <v>-6.6733164440763984E-4</v>
      </c>
      <c r="DE135" cm="1">
        <f t="array" ref="DE135">_xlfn.IFS(DD135&gt;0.9,0,DD135&lt;0.01,0)</f>
        <v>0</v>
      </c>
      <c r="DN135">
        <v>34.25</v>
      </c>
      <c r="DO135">
        <v>99.75</v>
      </c>
      <c r="DP135">
        <f t="shared" si="62"/>
        <v>21</v>
      </c>
      <c r="DQ135">
        <f t="shared" si="63"/>
        <v>5.8508569133403283E-4</v>
      </c>
      <c r="DR135" cm="1">
        <f t="array" ref="DR135">_xlfn.IFS(DQ135&gt;0.9,0,DQ135&lt;0.01,0)</f>
        <v>0</v>
      </c>
    </row>
    <row r="136" spans="1:122" x14ac:dyDescent="0.4">
      <c r="A136">
        <v>34.5</v>
      </c>
      <c r="B136">
        <v>99.75</v>
      </c>
      <c r="C136">
        <f t="shared" si="44"/>
        <v>22.3</v>
      </c>
      <c r="D136">
        <f t="shared" si="45"/>
        <v>9.0722813777418534E-4</v>
      </c>
      <c r="E136" cm="1">
        <f t="array" ref="E136">_xlfn.IFS(D136&gt;0.9,0,D136&lt;0.01,0)</f>
        <v>0</v>
      </c>
      <c r="N136">
        <v>34.5</v>
      </c>
      <c r="O136">
        <v>12</v>
      </c>
      <c r="P136">
        <f t="shared" si="46"/>
        <v>12.5</v>
      </c>
      <c r="Q136">
        <f t="shared" si="47"/>
        <v>4.8378467514383086E-2</v>
      </c>
      <c r="R136" t="e" cm="1">
        <f t="array" ref="R136">_xlfn.IFS(Q136&gt;0.9,0,Q136&lt;0.01,0)</f>
        <v>#N/A</v>
      </c>
      <c r="AA136">
        <v>33.5</v>
      </c>
      <c r="AB136">
        <v>25.75</v>
      </c>
      <c r="AC136">
        <f t="shared" si="48"/>
        <v>20.5</v>
      </c>
      <c r="AD136">
        <f t="shared" si="49"/>
        <v>1.4184601219933275E-2</v>
      </c>
      <c r="AE136" t="e" cm="1">
        <f t="array" ref="AE136">_xlfn.IFS(AD136&gt;0.9,0,AD136&lt;0.01,0)</f>
        <v>#N/A</v>
      </c>
      <c r="AN136">
        <v>34.5</v>
      </c>
      <c r="AO136">
        <v>27.5</v>
      </c>
      <c r="AP136">
        <f t="shared" si="50"/>
        <v>25</v>
      </c>
      <c r="AQ136">
        <f t="shared" si="51"/>
        <v>7.0284815699310655E-3</v>
      </c>
      <c r="AR136" cm="1">
        <f t="array" ref="AR136">_xlfn.IFS(AQ136&gt;0.9,0,AQ136&lt;0.01,0)</f>
        <v>0</v>
      </c>
      <c r="BA136">
        <v>34.5</v>
      </c>
      <c r="BB136">
        <v>10</v>
      </c>
      <c r="BC136">
        <f t="shared" si="52"/>
        <v>16.75</v>
      </c>
      <c r="BD136">
        <f t="shared" si="53"/>
        <v>3.3044238134290929E-2</v>
      </c>
      <c r="BE136" t="e" cm="1">
        <f t="array" ref="BE136">_xlfn.IFS(BD136&gt;0.9,0,BD136&lt;0.01,0)</f>
        <v>#N/A</v>
      </c>
      <c r="BN136">
        <v>34.5</v>
      </c>
      <c r="BO136">
        <v>89.25</v>
      </c>
      <c r="BP136">
        <f t="shared" si="54"/>
        <v>19.5</v>
      </c>
      <c r="BQ136">
        <f t="shared" si="55"/>
        <v>1.6340782009180092E-2</v>
      </c>
      <c r="BR136" t="e" cm="1">
        <f t="array" ref="BR136">_xlfn.IFS(BQ136&gt;0.9,0,BQ136&lt;0.01,0)</f>
        <v>#N/A</v>
      </c>
      <c r="CA136">
        <v>34.5</v>
      </c>
      <c r="CB136">
        <v>11.25</v>
      </c>
      <c r="CC136">
        <f t="shared" si="56"/>
        <v>11.25</v>
      </c>
      <c r="CD136">
        <f t="shared" si="57"/>
        <v>3.2971235315909599E-2</v>
      </c>
      <c r="CE136" t="e" cm="1">
        <f t="array" ref="CE136">_xlfn.IFS(CD136&gt;0.9,0,CD136&lt;0.01,0)</f>
        <v>#N/A</v>
      </c>
      <c r="CN136">
        <v>34.5</v>
      </c>
      <c r="CO136">
        <v>96.25</v>
      </c>
      <c r="CP136">
        <f t="shared" si="58"/>
        <v>20.5</v>
      </c>
      <c r="CQ136">
        <f t="shared" si="59"/>
        <v>1.0234559762899056E-3</v>
      </c>
      <c r="CR136" cm="1">
        <f t="array" ref="CR136">_xlfn.IFS(CQ136&gt;0.9,0,CQ136&lt;0.01,0)</f>
        <v>0</v>
      </c>
      <c r="DA136">
        <v>34.5</v>
      </c>
      <c r="DB136">
        <v>97.75</v>
      </c>
      <c r="DC136">
        <f t="shared" si="60"/>
        <v>19.75</v>
      </c>
      <c r="DD136">
        <f t="shared" si="61"/>
        <v>2.1449945713099623E-3</v>
      </c>
      <c r="DE136" cm="1">
        <f t="array" ref="DE136">_xlfn.IFS(DD136&gt;0.9,0,DD136&lt;0.01,0)</f>
        <v>0</v>
      </c>
      <c r="DN136">
        <v>34.5</v>
      </c>
      <c r="DO136">
        <v>99.5</v>
      </c>
      <c r="DP136">
        <f t="shared" si="62"/>
        <v>21.25</v>
      </c>
      <c r="DQ136">
        <f t="shared" si="63"/>
        <v>3.2416909925266591E-3</v>
      </c>
      <c r="DR136" cm="1">
        <f t="array" ref="DR136">_xlfn.IFS(DQ136&gt;0.9,0,DQ136&lt;0.01,0)</f>
        <v>0</v>
      </c>
    </row>
    <row r="137" spans="1:122" x14ac:dyDescent="0.4">
      <c r="A137">
        <v>34.75</v>
      </c>
      <c r="B137">
        <v>99.75</v>
      </c>
      <c r="C137">
        <f t="shared" si="44"/>
        <v>22.55</v>
      </c>
      <c r="D137">
        <f t="shared" si="45"/>
        <v>9.0722813777418534E-4</v>
      </c>
      <c r="E137" cm="1">
        <f t="array" ref="E137">_xlfn.IFS(D137&gt;0.9,0,D137&lt;0.01,0)</f>
        <v>0</v>
      </c>
      <c r="N137">
        <v>34.75</v>
      </c>
      <c r="O137">
        <v>12</v>
      </c>
      <c r="P137">
        <f t="shared" si="46"/>
        <v>12.75</v>
      </c>
      <c r="Q137">
        <f t="shared" si="47"/>
        <v>4.8378467514383086E-2</v>
      </c>
      <c r="R137" t="e" cm="1">
        <f t="array" ref="R137">_xlfn.IFS(Q137&gt;0.9,0,Q137&lt;0.01,0)</f>
        <v>#N/A</v>
      </c>
      <c r="AA137">
        <v>33.75</v>
      </c>
      <c r="AB137">
        <v>25.75</v>
      </c>
      <c r="AC137">
        <f t="shared" si="48"/>
        <v>20.75</v>
      </c>
      <c r="AD137">
        <f t="shared" si="49"/>
        <v>1.4184601219933275E-2</v>
      </c>
      <c r="AE137" t="e" cm="1">
        <f t="array" ref="AE137">_xlfn.IFS(AD137&gt;0.9,0,AD137&lt;0.01,0)</f>
        <v>#N/A</v>
      </c>
      <c r="AN137">
        <v>34.75</v>
      </c>
      <c r="AO137">
        <v>27.5</v>
      </c>
      <c r="AP137">
        <f t="shared" si="50"/>
        <v>25.25</v>
      </c>
      <c r="AQ137">
        <f t="shared" si="51"/>
        <v>7.0284815699310655E-3</v>
      </c>
      <c r="AR137" cm="1">
        <f t="array" ref="AR137">_xlfn.IFS(AQ137&gt;0.9,0,AQ137&lt;0.01,0)</f>
        <v>0</v>
      </c>
      <c r="BA137">
        <v>34.75</v>
      </c>
      <c r="BB137">
        <v>10</v>
      </c>
      <c r="BC137">
        <f t="shared" si="52"/>
        <v>17</v>
      </c>
      <c r="BD137">
        <f t="shared" si="53"/>
        <v>3.3044238134290929E-2</v>
      </c>
      <c r="BE137" t="e" cm="1">
        <f t="array" ref="BE137">_xlfn.IFS(BD137&gt;0.9,0,BD137&lt;0.01,0)</f>
        <v>#N/A</v>
      </c>
      <c r="BN137">
        <v>34.75</v>
      </c>
      <c r="BO137">
        <v>89.25</v>
      </c>
      <c r="BP137">
        <f t="shared" si="54"/>
        <v>19.75</v>
      </c>
      <c r="BQ137">
        <f t="shared" si="55"/>
        <v>1.6340782009180092E-2</v>
      </c>
      <c r="BR137" t="e" cm="1">
        <f t="array" ref="BR137">_xlfn.IFS(BQ137&gt;0.9,0,BQ137&lt;0.01,0)</f>
        <v>#N/A</v>
      </c>
      <c r="CA137">
        <v>34.75</v>
      </c>
      <c r="CB137">
        <v>11</v>
      </c>
      <c r="CC137">
        <f t="shared" si="56"/>
        <v>11.5</v>
      </c>
      <c r="CD137">
        <f t="shared" si="57"/>
        <v>2.9993188255117764E-2</v>
      </c>
      <c r="CE137" t="e" cm="1">
        <f t="array" ref="CE137">_xlfn.IFS(CD137&gt;0.9,0,CD137&lt;0.01,0)</f>
        <v>#N/A</v>
      </c>
      <c r="CN137">
        <v>34.75</v>
      </c>
      <c r="CO137">
        <v>96.25</v>
      </c>
      <c r="CP137">
        <f t="shared" si="58"/>
        <v>20.75</v>
      </c>
      <c r="CQ137">
        <f t="shared" si="59"/>
        <v>1.0234559762899056E-3</v>
      </c>
      <c r="CR137" cm="1">
        <f t="array" ref="CR137">_xlfn.IFS(CQ137&gt;0.9,0,CQ137&lt;0.01,0)</f>
        <v>0</v>
      </c>
      <c r="DA137">
        <v>34.75</v>
      </c>
      <c r="DB137">
        <v>98</v>
      </c>
      <c r="DC137">
        <f t="shared" si="60"/>
        <v>20</v>
      </c>
      <c r="DD137">
        <f t="shared" si="61"/>
        <v>-6.6733164440763984E-4</v>
      </c>
      <c r="DE137" cm="1">
        <f t="array" ref="DE137">_xlfn.IFS(DD137&gt;0.9,0,DD137&lt;0.01,0)</f>
        <v>0</v>
      </c>
      <c r="DN137">
        <v>34.75</v>
      </c>
      <c r="DO137">
        <v>99.5</v>
      </c>
      <c r="DP137">
        <f t="shared" si="62"/>
        <v>21.5</v>
      </c>
      <c r="DQ137">
        <f t="shared" si="63"/>
        <v>3.2416909925266591E-3</v>
      </c>
      <c r="DR137" cm="1">
        <f t="array" ref="DR137">_xlfn.IFS(DQ137&gt;0.9,0,DQ137&lt;0.01,0)</f>
        <v>0</v>
      </c>
    </row>
    <row r="138" spans="1:122" x14ac:dyDescent="0.4">
      <c r="A138">
        <v>35</v>
      </c>
      <c r="B138">
        <v>99.75</v>
      </c>
      <c r="C138">
        <f t="shared" si="44"/>
        <v>22.8</v>
      </c>
      <c r="D138">
        <f t="shared" si="45"/>
        <v>9.0722813777418534E-4</v>
      </c>
      <c r="E138" cm="1">
        <f t="array" ref="E138">_xlfn.IFS(D138&gt;0.9,0,D138&lt;0.01,0)</f>
        <v>0</v>
      </c>
      <c r="N138">
        <v>35</v>
      </c>
      <c r="O138">
        <v>11.75</v>
      </c>
      <c r="P138">
        <f t="shared" si="46"/>
        <v>13</v>
      </c>
      <c r="Q138">
        <f t="shared" si="47"/>
        <v>4.5734178606764632E-2</v>
      </c>
      <c r="R138" t="e" cm="1">
        <f t="array" ref="R138">_xlfn.IFS(Q138&gt;0.9,0,Q138&lt;0.01,0)</f>
        <v>#N/A</v>
      </c>
      <c r="AA138">
        <v>34</v>
      </c>
      <c r="AB138">
        <v>25.75</v>
      </c>
      <c r="AC138">
        <f t="shared" si="48"/>
        <v>21</v>
      </c>
      <c r="AD138">
        <f t="shared" si="49"/>
        <v>1.4184601219933275E-2</v>
      </c>
      <c r="AE138" t="e" cm="1">
        <f t="array" ref="AE138">_xlfn.IFS(AD138&gt;0.9,0,AD138&lt;0.01,0)</f>
        <v>#N/A</v>
      </c>
      <c r="AN138">
        <v>35</v>
      </c>
      <c r="AO138">
        <v>27.25</v>
      </c>
      <c r="AP138">
        <f t="shared" si="50"/>
        <v>25.5</v>
      </c>
      <c r="AQ138">
        <f t="shared" si="51"/>
        <v>3.676436513502399E-3</v>
      </c>
      <c r="AR138" cm="1">
        <f t="array" ref="AR138">_xlfn.IFS(AQ138&gt;0.9,0,AQ138&lt;0.01,0)</f>
        <v>0</v>
      </c>
      <c r="BA138">
        <v>35</v>
      </c>
      <c r="BB138">
        <v>9.75</v>
      </c>
      <c r="BC138">
        <f t="shared" si="52"/>
        <v>17.25</v>
      </c>
      <c r="BD138">
        <f t="shared" si="53"/>
        <v>3.0354000621053725E-2</v>
      </c>
      <c r="BE138" t="e" cm="1">
        <f t="array" ref="BE138">_xlfn.IFS(BD138&gt;0.9,0,BD138&lt;0.01,0)</f>
        <v>#N/A</v>
      </c>
      <c r="BN138">
        <v>35</v>
      </c>
      <c r="BO138">
        <v>89.25</v>
      </c>
      <c r="BP138">
        <f t="shared" si="54"/>
        <v>20</v>
      </c>
      <c r="BQ138">
        <f t="shared" si="55"/>
        <v>1.6340782009180092E-2</v>
      </c>
      <c r="BR138" t="e" cm="1">
        <f t="array" ref="BR138">_xlfn.IFS(BQ138&gt;0.9,0,BQ138&lt;0.01,0)</f>
        <v>#N/A</v>
      </c>
      <c r="CA138">
        <v>35</v>
      </c>
      <c r="CB138">
        <v>11</v>
      </c>
      <c r="CC138">
        <f t="shared" si="56"/>
        <v>11.75</v>
      </c>
      <c r="CD138">
        <f t="shared" si="57"/>
        <v>2.9993188255117764E-2</v>
      </c>
      <c r="CE138" t="e" cm="1">
        <f t="array" ref="CE138">_xlfn.IFS(CD138&gt;0.9,0,CD138&lt;0.01,0)</f>
        <v>#N/A</v>
      </c>
      <c r="CN138">
        <v>35</v>
      </c>
      <c r="CO138">
        <v>96.5</v>
      </c>
      <c r="CP138">
        <f t="shared" si="58"/>
        <v>21</v>
      </c>
      <c r="CQ138">
        <f t="shared" si="59"/>
        <v>-1.7590649592483594E-3</v>
      </c>
      <c r="CR138" cm="1">
        <f t="array" ref="CR138">_xlfn.IFS(CQ138&gt;0.9,0,CQ138&lt;0.01,0)</f>
        <v>0</v>
      </c>
      <c r="DA138">
        <v>35</v>
      </c>
      <c r="DB138">
        <v>98</v>
      </c>
      <c r="DC138">
        <f t="shared" si="60"/>
        <v>20.25</v>
      </c>
      <c r="DD138">
        <f t="shared" si="61"/>
        <v>-6.6733164440763984E-4</v>
      </c>
      <c r="DE138" cm="1">
        <f t="array" ref="DE138">_xlfn.IFS(DD138&gt;0.9,0,DD138&lt;0.01,0)</f>
        <v>0</v>
      </c>
      <c r="DN138">
        <v>35</v>
      </c>
      <c r="DO138">
        <v>99.75</v>
      </c>
      <c r="DP138">
        <f t="shared" si="62"/>
        <v>21.75</v>
      </c>
      <c r="DQ138">
        <f t="shared" si="63"/>
        <v>5.8508569133403283E-4</v>
      </c>
      <c r="DR138" cm="1">
        <f t="array" ref="DR138">_xlfn.IFS(DQ138&gt;0.9,0,DQ138&lt;0.01,0)</f>
        <v>0</v>
      </c>
    </row>
    <row r="139" spans="1:122" x14ac:dyDescent="0.4">
      <c r="A139">
        <v>35.25</v>
      </c>
      <c r="B139">
        <v>99.75</v>
      </c>
      <c r="C139">
        <f t="shared" si="44"/>
        <v>23.05</v>
      </c>
      <c r="D139">
        <f t="shared" si="45"/>
        <v>9.0722813777418534E-4</v>
      </c>
      <c r="E139" cm="1">
        <f t="array" ref="E139">_xlfn.IFS(D139&gt;0.9,0,D139&lt;0.01,0)</f>
        <v>0</v>
      </c>
      <c r="N139">
        <v>35.25</v>
      </c>
      <c r="O139">
        <v>11.5</v>
      </c>
      <c r="P139">
        <f t="shared" si="46"/>
        <v>13.25</v>
      </c>
      <c r="Q139">
        <f t="shared" si="47"/>
        <v>4.3089889699146178E-2</v>
      </c>
      <c r="R139" t="e" cm="1">
        <f t="array" ref="R139">_xlfn.IFS(Q139&gt;0.9,0,Q139&lt;0.01,0)</f>
        <v>#N/A</v>
      </c>
      <c r="AA139">
        <v>34.25</v>
      </c>
      <c r="AB139">
        <v>25.75</v>
      </c>
      <c r="AC139">
        <f t="shared" si="48"/>
        <v>21.25</v>
      </c>
      <c r="AD139">
        <f t="shared" si="49"/>
        <v>1.4184601219933275E-2</v>
      </c>
      <c r="AE139" t="e" cm="1">
        <f t="array" ref="AE139">_xlfn.IFS(AD139&gt;0.9,0,AD139&lt;0.01,0)</f>
        <v>#N/A</v>
      </c>
      <c r="AN139">
        <v>35.25</v>
      </c>
      <c r="AO139">
        <v>27.5</v>
      </c>
      <c r="AP139">
        <f t="shared" si="50"/>
        <v>25.75</v>
      </c>
      <c r="AQ139">
        <f t="shared" si="51"/>
        <v>7.0284815699310655E-3</v>
      </c>
      <c r="AR139" cm="1">
        <f t="array" ref="AR139">_xlfn.IFS(AQ139&gt;0.9,0,AQ139&lt;0.01,0)</f>
        <v>0</v>
      </c>
      <c r="BA139">
        <v>35.25</v>
      </c>
      <c r="BB139">
        <v>9.75</v>
      </c>
      <c r="BC139">
        <f t="shared" si="52"/>
        <v>17.5</v>
      </c>
      <c r="BD139">
        <f t="shared" si="53"/>
        <v>3.0354000621053725E-2</v>
      </c>
      <c r="BE139" t="e" cm="1">
        <f t="array" ref="BE139">_xlfn.IFS(BD139&gt;0.9,0,BD139&lt;0.01,0)</f>
        <v>#N/A</v>
      </c>
      <c r="BN139">
        <v>35.25</v>
      </c>
      <c r="BO139">
        <v>89.25</v>
      </c>
      <c r="BP139">
        <f t="shared" si="54"/>
        <v>20.25</v>
      </c>
      <c r="BQ139">
        <f t="shared" si="55"/>
        <v>1.6340782009180092E-2</v>
      </c>
      <c r="BR139" t="e" cm="1">
        <f t="array" ref="BR139">_xlfn.IFS(BQ139&gt;0.9,0,BQ139&lt;0.01,0)</f>
        <v>#N/A</v>
      </c>
      <c r="CA139">
        <v>35.25</v>
      </c>
      <c r="CB139">
        <v>11</v>
      </c>
      <c r="CC139">
        <f t="shared" si="56"/>
        <v>12</v>
      </c>
      <c r="CD139">
        <f t="shared" si="57"/>
        <v>2.9993188255117764E-2</v>
      </c>
      <c r="CE139" t="e" cm="1">
        <f t="array" ref="CE139">_xlfn.IFS(CD139&gt;0.9,0,CD139&lt;0.01,0)</f>
        <v>#N/A</v>
      </c>
      <c r="CN139">
        <v>35.25</v>
      </c>
      <c r="CO139">
        <v>96.75</v>
      </c>
      <c r="CP139">
        <f t="shared" si="58"/>
        <v>21.25</v>
      </c>
      <c r="CQ139">
        <f t="shared" si="59"/>
        <v>-4.541585894786624E-3</v>
      </c>
      <c r="CR139" cm="1">
        <f t="array" ref="CR139">_xlfn.IFS(CQ139&gt;0.9,0,CQ139&lt;0.01,0)</f>
        <v>0</v>
      </c>
      <c r="DA139">
        <v>35.25</v>
      </c>
      <c r="DB139">
        <v>98</v>
      </c>
      <c r="DC139">
        <f t="shared" si="60"/>
        <v>20.5</v>
      </c>
      <c r="DD139">
        <f t="shared" si="61"/>
        <v>-6.6733164440763984E-4</v>
      </c>
      <c r="DE139" cm="1">
        <f t="array" ref="DE139">_xlfn.IFS(DD139&gt;0.9,0,DD139&lt;0.01,0)</f>
        <v>0</v>
      </c>
      <c r="DN139">
        <v>35.25</v>
      </c>
      <c r="DO139">
        <v>99.75</v>
      </c>
      <c r="DP139">
        <f t="shared" si="62"/>
        <v>22</v>
      </c>
      <c r="DQ139">
        <f t="shared" si="63"/>
        <v>5.8508569133403283E-4</v>
      </c>
      <c r="DR139" cm="1">
        <f t="array" ref="DR139">_xlfn.IFS(DQ139&gt;0.9,0,DQ139&lt;0.01,0)</f>
        <v>0</v>
      </c>
    </row>
    <row r="140" spans="1:122" x14ac:dyDescent="0.4">
      <c r="A140">
        <v>35.5</v>
      </c>
      <c r="B140">
        <v>99.75</v>
      </c>
      <c r="C140">
        <f t="shared" si="44"/>
        <v>23.3</v>
      </c>
      <c r="D140">
        <f t="shared" si="45"/>
        <v>9.0722813777418534E-4</v>
      </c>
      <c r="E140" cm="1">
        <f t="array" ref="E140">_xlfn.IFS(D140&gt;0.9,0,D140&lt;0.01,0)</f>
        <v>0</v>
      </c>
      <c r="N140">
        <v>35.5</v>
      </c>
      <c r="O140">
        <v>11.25</v>
      </c>
      <c r="P140">
        <f t="shared" si="46"/>
        <v>13.5</v>
      </c>
      <c r="Q140">
        <f t="shared" si="47"/>
        <v>4.0445600791527724E-2</v>
      </c>
      <c r="R140" t="e" cm="1">
        <f t="array" ref="R140">_xlfn.IFS(Q140&gt;0.9,0,Q140&lt;0.01,0)</f>
        <v>#N/A</v>
      </c>
      <c r="AA140">
        <v>34.5</v>
      </c>
      <c r="AB140">
        <v>25.75</v>
      </c>
      <c r="AC140">
        <f t="shared" si="48"/>
        <v>21.5</v>
      </c>
      <c r="AD140">
        <f t="shared" si="49"/>
        <v>1.4184601219933275E-2</v>
      </c>
      <c r="AE140" t="e" cm="1">
        <f t="array" ref="AE140">_xlfn.IFS(AD140&gt;0.9,0,AD140&lt;0.01,0)</f>
        <v>#N/A</v>
      </c>
      <c r="AN140">
        <v>35.5</v>
      </c>
      <c r="AO140">
        <v>27.25</v>
      </c>
      <c r="AP140">
        <f t="shared" si="50"/>
        <v>26</v>
      </c>
      <c r="AQ140">
        <f t="shared" si="51"/>
        <v>3.676436513502399E-3</v>
      </c>
      <c r="AR140" cm="1">
        <f t="array" ref="AR140">_xlfn.IFS(AQ140&gt;0.9,0,AQ140&lt;0.01,0)</f>
        <v>0</v>
      </c>
      <c r="BA140">
        <v>35.5</v>
      </c>
      <c r="BB140">
        <v>9.75</v>
      </c>
      <c r="BC140">
        <f t="shared" si="52"/>
        <v>17.75</v>
      </c>
      <c r="BD140">
        <f t="shared" si="53"/>
        <v>3.0354000621053725E-2</v>
      </c>
      <c r="BE140" t="e" cm="1">
        <f t="array" ref="BE140">_xlfn.IFS(BD140&gt;0.9,0,BD140&lt;0.01,0)</f>
        <v>#N/A</v>
      </c>
      <c r="BN140">
        <v>35.5</v>
      </c>
      <c r="BO140">
        <v>89.5</v>
      </c>
      <c r="BP140">
        <f t="shared" si="54"/>
        <v>20.5</v>
      </c>
      <c r="BQ140">
        <f t="shared" si="55"/>
        <v>1.3365437308086607E-2</v>
      </c>
      <c r="BR140" t="e" cm="1">
        <f t="array" ref="BR140">_xlfn.IFS(BQ140&gt;0.9,0,BQ140&lt;0.01,0)</f>
        <v>#N/A</v>
      </c>
      <c r="CA140">
        <v>35.5</v>
      </c>
      <c r="CB140">
        <v>10.75</v>
      </c>
      <c r="CC140">
        <f t="shared" si="56"/>
        <v>12.25</v>
      </c>
      <c r="CD140">
        <f t="shared" si="57"/>
        <v>2.701514119432593E-2</v>
      </c>
      <c r="CE140" t="e" cm="1">
        <f t="array" ref="CE140">_xlfn.IFS(CD140&gt;0.9,0,CD140&lt;0.01,0)</f>
        <v>#N/A</v>
      </c>
      <c r="CN140">
        <v>35.5</v>
      </c>
      <c r="CO140">
        <v>97</v>
      </c>
      <c r="CP140">
        <f t="shared" si="58"/>
        <v>21.5</v>
      </c>
      <c r="CQ140">
        <f t="shared" si="59"/>
        <v>-7.3241068303248891E-3</v>
      </c>
      <c r="CR140" cm="1">
        <f t="array" ref="CR140">_xlfn.IFS(CQ140&gt;0.9,0,CQ140&lt;0.01,0)</f>
        <v>0</v>
      </c>
      <c r="DA140">
        <v>35.5</v>
      </c>
      <c r="DB140">
        <v>98</v>
      </c>
      <c r="DC140">
        <f t="shared" si="60"/>
        <v>20.75</v>
      </c>
      <c r="DD140">
        <f t="shared" si="61"/>
        <v>-6.6733164440763984E-4</v>
      </c>
      <c r="DE140" cm="1">
        <f t="array" ref="DE140">_xlfn.IFS(DD140&gt;0.9,0,DD140&lt;0.01,0)</f>
        <v>0</v>
      </c>
      <c r="DN140">
        <v>35.5</v>
      </c>
      <c r="DO140">
        <v>99.75</v>
      </c>
      <c r="DP140">
        <f t="shared" si="62"/>
        <v>22.25</v>
      </c>
      <c r="DQ140">
        <f t="shared" si="63"/>
        <v>5.8508569133403283E-4</v>
      </c>
      <c r="DR140" cm="1">
        <f t="array" ref="DR140">_xlfn.IFS(DQ140&gt;0.9,0,DQ140&lt;0.01,0)</f>
        <v>0</v>
      </c>
    </row>
    <row r="141" spans="1:122" x14ac:dyDescent="0.4">
      <c r="A141">
        <v>35.75</v>
      </c>
      <c r="B141">
        <v>99.75</v>
      </c>
      <c r="C141">
        <f t="shared" si="44"/>
        <v>23.55</v>
      </c>
      <c r="D141">
        <f t="shared" si="45"/>
        <v>9.0722813777418534E-4</v>
      </c>
      <c r="E141" cm="1">
        <f t="array" ref="E141">_xlfn.IFS(D141&gt;0.9,0,D141&lt;0.01,0)</f>
        <v>0</v>
      </c>
      <c r="N141">
        <v>35.75</v>
      </c>
      <c r="O141">
        <v>11</v>
      </c>
      <c r="P141">
        <f t="shared" si="46"/>
        <v>13.75</v>
      </c>
      <c r="Q141">
        <f t="shared" si="47"/>
        <v>3.7801311883909269E-2</v>
      </c>
      <c r="R141" t="e" cm="1">
        <f t="array" ref="R141">_xlfn.IFS(Q141&gt;0.9,0,Q141&lt;0.01,0)</f>
        <v>#N/A</v>
      </c>
      <c r="AA141">
        <v>34.75</v>
      </c>
      <c r="AB141">
        <v>26</v>
      </c>
      <c r="AC141">
        <f t="shared" si="48"/>
        <v>21.75</v>
      </c>
      <c r="AD141">
        <f t="shared" si="49"/>
        <v>9.7824835999542423E-4</v>
      </c>
      <c r="AE141" cm="1">
        <f t="array" ref="AE141">_xlfn.IFS(AD141&gt;0.9,0,AD141&lt;0.01,0)</f>
        <v>0</v>
      </c>
      <c r="AN141">
        <v>35.75</v>
      </c>
      <c r="AO141">
        <v>27.25</v>
      </c>
      <c r="AP141">
        <f t="shared" si="50"/>
        <v>26.25</v>
      </c>
      <c r="AQ141">
        <f t="shared" si="51"/>
        <v>3.676436513502399E-3</v>
      </c>
      <c r="AR141" cm="1">
        <f t="array" ref="AR141">_xlfn.IFS(AQ141&gt;0.9,0,AQ141&lt;0.01,0)</f>
        <v>0</v>
      </c>
      <c r="BA141">
        <v>35.75</v>
      </c>
      <c r="BB141">
        <v>9.5</v>
      </c>
      <c r="BC141">
        <f t="shared" si="52"/>
        <v>18</v>
      </c>
      <c r="BD141">
        <f t="shared" si="53"/>
        <v>2.7663763107816521E-2</v>
      </c>
      <c r="BE141" t="e" cm="1">
        <f t="array" ref="BE141">_xlfn.IFS(BD141&gt;0.9,0,BD141&lt;0.01,0)</f>
        <v>#N/A</v>
      </c>
      <c r="BN141">
        <v>35.75</v>
      </c>
      <c r="BO141">
        <v>89.25</v>
      </c>
      <c r="BP141">
        <f t="shared" si="54"/>
        <v>20.75</v>
      </c>
      <c r="BQ141">
        <f t="shared" si="55"/>
        <v>1.6340782009180092E-2</v>
      </c>
      <c r="BR141" t="e" cm="1">
        <f t="array" ref="BR141">_xlfn.IFS(BQ141&gt;0.9,0,BQ141&lt;0.01,0)</f>
        <v>#N/A</v>
      </c>
      <c r="CA141">
        <v>35.75</v>
      </c>
      <c r="CB141">
        <v>10.75</v>
      </c>
      <c r="CC141">
        <f t="shared" si="56"/>
        <v>12.5</v>
      </c>
      <c r="CD141">
        <f t="shared" si="57"/>
        <v>2.701514119432593E-2</v>
      </c>
      <c r="CE141" t="e" cm="1">
        <f t="array" ref="CE141">_xlfn.IFS(CD141&gt;0.9,0,CD141&lt;0.01,0)</f>
        <v>#N/A</v>
      </c>
      <c r="CN141">
        <v>35.75</v>
      </c>
      <c r="CO141">
        <v>96.75</v>
      </c>
      <c r="CP141">
        <f t="shared" si="58"/>
        <v>21.75</v>
      </c>
      <c r="CQ141">
        <f t="shared" si="59"/>
        <v>-4.541585894786624E-3</v>
      </c>
      <c r="CR141" cm="1">
        <f t="array" ref="CR141">_xlfn.IFS(CQ141&gt;0.9,0,CQ141&lt;0.01,0)</f>
        <v>0</v>
      </c>
      <c r="DA141">
        <v>35.75</v>
      </c>
      <c r="DB141">
        <v>98</v>
      </c>
      <c r="DC141">
        <f t="shared" si="60"/>
        <v>21</v>
      </c>
      <c r="DD141">
        <f t="shared" si="61"/>
        <v>-6.6733164440763984E-4</v>
      </c>
      <c r="DE141" cm="1">
        <f t="array" ref="DE141">_xlfn.IFS(DD141&gt;0.9,0,DD141&lt;0.01,0)</f>
        <v>0</v>
      </c>
      <c r="DN141">
        <v>35.75</v>
      </c>
      <c r="DO141">
        <v>99.75</v>
      </c>
      <c r="DP141">
        <f t="shared" si="62"/>
        <v>22.5</v>
      </c>
      <c r="DQ141">
        <f t="shared" si="63"/>
        <v>5.8508569133403283E-4</v>
      </c>
      <c r="DR141" cm="1">
        <f t="array" ref="DR141">_xlfn.IFS(DQ141&gt;0.9,0,DQ141&lt;0.01,0)</f>
        <v>0</v>
      </c>
    </row>
    <row r="142" spans="1:122" x14ac:dyDescent="0.4">
      <c r="A142">
        <v>36</v>
      </c>
      <c r="B142">
        <v>99.75</v>
      </c>
      <c r="C142">
        <f t="shared" si="44"/>
        <v>23.8</v>
      </c>
      <c r="D142">
        <f t="shared" si="45"/>
        <v>9.0722813777418534E-4</v>
      </c>
      <c r="E142" cm="1">
        <f t="array" ref="E142">_xlfn.IFS(D142&gt;0.9,0,D142&lt;0.01,0)</f>
        <v>0</v>
      </c>
      <c r="N142">
        <v>36</v>
      </c>
      <c r="O142">
        <v>11</v>
      </c>
      <c r="P142">
        <f t="shared" si="46"/>
        <v>14</v>
      </c>
      <c r="Q142">
        <f t="shared" si="47"/>
        <v>3.7801311883909269E-2</v>
      </c>
      <c r="R142" t="e" cm="1">
        <f t="array" ref="R142">_xlfn.IFS(Q142&gt;0.9,0,Q142&lt;0.01,0)</f>
        <v>#N/A</v>
      </c>
      <c r="AA142">
        <v>35</v>
      </c>
      <c r="AB142">
        <v>25.75</v>
      </c>
      <c r="AC142">
        <f t="shared" si="48"/>
        <v>22</v>
      </c>
      <c r="AD142">
        <f t="shared" si="49"/>
        <v>1.4184601219933275E-2</v>
      </c>
      <c r="AE142" t="e" cm="1">
        <f t="array" ref="AE142">_xlfn.IFS(AD142&gt;0.9,0,AD142&lt;0.01,0)</f>
        <v>#N/A</v>
      </c>
      <c r="AN142">
        <v>36</v>
      </c>
      <c r="AO142">
        <v>27.25</v>
      </c>
      <c r="AP142">
        <f t="shared" si="50"/>
        <v>26.5</v>
      </c>
      <c r="AQ142">
        <f t="shared" si="51"/>
        <v>3.676436513502399E-3</v>
      </c>
      <c r="AR142" cm="1">
        <f t="array" ref="AR142">_xlfn.IFS(AQ142&gt;0.9,0,AQ142&lt;0.01,0)</f>
        <v>0</v>
      </c>
      <c r="BA142">
        <v>36</v>
      </c>
      <c r="BB142">
        <v>9.5</v>
      </c>
      <c r="BC142">
        <f t="shared" si="52"/>
        <v>18.25</v>
      </c>
      <c r="BD142">
        <f t="shared" si="53"/>
        <v>2.7663763107816521E-2</v>
      </c>
      <c r="BE142" t="e" cm="1">
        <f t="array" ref="BE142">_xlfn.IFS(BD142&gt;0.9,0,BD142&lt;0.01,0)</f>
        <v>#N/A</v>
      </c>
      <c r="BN142">
        <v>36</v>
      </c>
      <c r="BO142">
        <v>89.25</v>
      </c>
      <c r="BP142">
        <f t="shared" si="54"/>
        <v>21</v>
      </c>
      <c r="BQ142">
        <f t="shared" si="55"/>
        <v>1.6340782009180092E-2</v>
      </c>
      <c r="BR142" t="e" cm="1">
        <f t="array" ref="BR142">_xlfn.IFS(BQ142&gt;0.9,0,BQ142&lt;0.01,0)</f>
        <v>#N/A</v>
      </c>
      <c r="CA142">
        <v>36</v>
      </c>
      <c r="CB142">
        <v>10.5</v>
      </c>
      <c r="CC142">
        <f t="shared" si="56"/>
        <v>12.75</v>
      </c>
      <c r="CD142">
        <f t="shared" si="57"/>
        <v>2.4037094133534095E-2</v>
      </c>
      <c r="CE142" t="e" cm="1">
        <f t="array" ref="CE142">_xlfn.IFS(CD142&gt;0.9,0,CD142&lt;0.01,0)</f>
        <v>#N/A</v>
      </c>
      <c r="CN142">
        <v>36</v>
      </c>
      <c r="CO142">
        <v>96.75</v>
      </c>
      <c r="CP142">
        <f t="shared" si="58"/>
        <v>22</v>
      </c>
      <c r="CQ142">
        <f t="shared" si="59"/>
        <v>-4.541585894786624E-3</v>
      </c>
      <c r="CR142" cm="1">
        <f t="array" ref="CR142">_xlfn.IFS(CQ142&gt;0.9,0,CQ142&lt;0.01,0)</f>
        <v>0</v>
      </c>
      <c r="DA142">
        <v>36</v>
      </c>
      <c r="DB142">
        <v>98</v>
      </c>
      <c r="DC142">
        <f t="shared" si="60"/>
        <v>21.25</v>
      </c>
      <c r="DD142">
        <f t="shared" si="61"/>
        <v>-6.6733164440763984E-4</v>
      </c>
      <c r="DE142" cm="1">
        <f t="array" ref="DE142">_xlfn.IFS(DD142&gt;0.9,0,DD142&lt;0.01,0)</f>
        <v>0</v>
      </c>
      <c r="DN142">
        <v>36</v>
      </c>
      <c r="DO142">
        <v>99.75</v>
      </c>
      <c r="DP142">
        <f t="shared" si="62"/>
        <v>22.75</v>
      </c>
      <c r="DQ142">
        <f t="shared" si="63"/>
        <v>5.8508569133403283E-4</v>
      </c>
      <c r="DR142" cm="1">
        <f t="array" ref="DR142">_xlfn.IFS(DQ142&gt;0.9,0,DQ142&lt;0.01,0)</f>
        <v>0</v>
      </c>
    </row>
    <row r="143" spans="1:122" x14ac:dyDescent="0.4">
      <c r="A143">
        <v>36.25</v>
      </c>
      <c r="B143">
        <v>99.75</v>
      </c>
      <c r="C143">
        <f t="shared" si="44"/>
        <v>24.05</v>
      </c>
      <c r="D143">
        <f t="shared" si="45"/>
        <v>9.0722813777418534E-4</v>
      </c>
      <c r="E143" cm="1">
        <f t="array" ref="E143">_xlfn.IFS(D143&gt;0.9,0,D143&lt;0.01,0)</f>
        <v>0</v>
      </c>
      <c r="N143">
        <v>36.25</v>
      </c>
      <c r="O143">
        <v>10.75</v>
      </c>
      <c r="P143">
        <f t="shared" si="46"/>
        <v>14.25</v>
      </c>
      <c r="Q143">
        <f t="shared" si="47"/>
        <v>3.5157022976290815E-2</v>
      </c>
      <c r="R143" t="e" cm="1">
        <f t="array" ref="R143">_xlfn.IFS(Q143&gt;0.9,0,Q143&lt;0.01,0)</f>
        <v>#N/A</v>
      </c>
      <c r="AA143">
        <v>35.25</v>
      </c>
      <c r="AB143">
        <v>25.75</v>
      </c>
      <c r="AC143">
        <f t="shared" si="48"/>
        <v>22.25</v>
      </c>
      <c r="AD143">
        <f t="shared" si="49"/>
        <v>1.4184601219933275E-2</v>
      </c>
      <c r="AE143" t="e" cm="1">
        <f t="array" ref="AE143">_xlfn.IFS(AD143&gt;0.9,0,AD143&lt;0.01,0)</f>
        <v>#N/A</v>
      </c>
      <c r="AN143">
        <v>36.25</v>
      </c>
      <c r="AO143">
        <v>27.25</v>
      </c>
      <c r="AP143">
        <f t="shared" si="50"/>
        <v>26.75</v>
      </c>
      <c r="AQ143">
        <f t="shared" si="51"/>
        <v>3.676436513502399E-3</v>
      </c>
      <c r="AR143" cm="1">
        <f t="array" ref="AR143">_xlfn.IFS(AQ143&gt;0.9,0,AQ143&lt;0.01,0)</f>
        <v>0</v>
      </c>
      <c r="BA143">
        <v>36.25</v>
      </c>
      <c r="BB143">
        <v>9.5</v>
      </c>
      <c r="BC143">
        <f t="shared" si="52"/>
        <v>18.5</v>
      </c>
      <c r="BD143">
        <f t="shared" si="53"/>
        <v>2.7663763107816521E-2</v>
      </c>
      <c r="BE143" t="e" cm="1">
        <f t="array" ref="BE143">_xlfn.IFS(BD143&gt;0.9,0,BD143&lt;0.01,0)</f>
        <v>#N/A</v>
      </c>
      <c r="BN143">
        <v>36.25</v>
      </c>
      <c r="BO143">
        <v>89.25</v>
      </c>
      <c r="BP143">
        <f t="shared" si="54"/>
        <v>21.25</v>
      </c>
      <c r="BQ143">
        <f t="shared" si="55"/>
        <v>1.6340782009180092E-2</v>
      </c>
      <c r="BR143" t="e" cm="1">
        <f t="array" ref="BR143">_xlfn.IFS(BQ143&gt;0.9,0,BQ143&lt;0.01,0)</f>
        <v>#N/A</v>
      </c>
      <c r="CA143">
        <v>36.25</v>
      </c>
      <c r="CB143">
        <v>10.5</v>
      </c>
      <c r="CC143">
        <f t="shared" si="56"/>
        <v>13</v>
      </c>
      <c r="CD143">
        <f t="shared" si="57"/>
        <v>2.4037094133534095E-2</v>
      </c>
      <c r="CE143" t="e" cm="1">
        <f t="array" ref="CE143">_xlfn.IFS(CD143&gt;0.9,0,CD143&lt;0.01,0)</f>
        <v>#N/A</v>
      </c>
      <c r="CN143">
        <v>36.25</v>
      </c>
      <c r="CO143">
        <v>97.25</v>
      </c>
      <c r="CP143">
        <f t="shared" si="58"/>
        <v>22.25</v>
      </c>
      <c r="CQ143">
        <f t="shared" si="59"/>
        <v>-1.0106627765863154E-2</v>
      </c>
      <c r="CR143" cm="1">
        <f t="array" ref="CR143">_xlfn.IFS(CQ143&gt;0.9,0,CQ143&lt;0.01,0)</f>
        <v>0</v>
      </c>
      <c r="DA143">
        <v>36.25</v>
      </c>
      <c r="DB143">
        <v>97.75</v>
      </c>
      <c r="DC143">
        <f t="shared" si="60"/>
        <v>21.5</v>
      </c>
      <c r="DD143">
        <f t="shared" si="61"/>
        <v>2.1449945713099623E-3</v>
      </c>
      <c r="DE143" cm="1">
        <f t="array" ref="DE143">_xlfn.IFS(DD143&gt;0.9,0,DD143&lt;0.01,0)</f>
        <v>0</v>
      </c>
      <c r="DN143">
        <v>36.25</v>
      </c>
      <c r="DO143">
        <v>99.75</v>
      </c>
      <c r="DP143">
        <f t="shared" si="62"/>
        <v>23</v>
      </c>
      <c r="DQ143">
        <f t="shared" si="63"/>
        <v>5.8508569133403283E-4</v>
      </c>
      <c r="DR143" cm="1">
        <f t="array" ref="DR143">_xlfn.IFS(DQ143&gt;0.9,0,DQ143&lt;0.01,0)</f>
        <v>0</v>
      </c>
    </row>
    <row r="144" spans="1:122" x14ac:dyDescent="0.4">
      <c r="A144">
        <v>36.5</v>
      </c>
      <c r="B144">
        <v>99.75</v>
      </c>
      <c r="C144">
        <f t="shared" si="44"/>
        <v>24.3</v>
      </c>
      <c r="D144">
        <f t="shared" si="45"/>
        <v>9.0722813777418534E-4</v>
      </c>
      <c r="E144" cm="1">
        <f t="array" ref="E144">_xlfn.IFS(D144&gt;0.9,0,D144&lt;0.01,0)</f>
        <v>0</v>
      </c>
      <c r="N144">
        <v>36.5</v>
      </c>
      <c r="O144">
        <v>10.5</v>
      </c>
      <c r="P144">
        <f t="shared" si="46"/>
        <v>14.5</v>
      </c>
      <c r="Q144">
        <f t="shared" si="47"/>
        <v>3.2512734068672361E-2</v>
      </c>
      <c r="R144" t="e" cm="1">
        <f t="array" ref="R144">_xlfn.IFS(Q144&gt;0.9,0,Q144&lt;0.01,0)</f>
        <v>#N/A</v>
      </c>
      <c r="AA144">
        <v>35.5</v>
      </c>
      <c r="AB144">
        <v>26</v>
      </c>
      <c r="AC144">
        <f t="shared" si="48"/>
        <v>22.5</v>
      </c>
      <c r="AD144">
        <f t="shared" si="49"/>
        <v>9.7824835999542423E-4</v>
      </c>
      <c r="AE144" cm="1">
        <f t="array" ref="AE144">_xlfn.IFS(AD144&gt;0.9,0,AD144&lt;0.01,0)</f>
        <v>0</v>
      </c>
      <c r="AN144">
        <v>36.5</v>
      </c>
      <c r="AO144">
        <v>27.25</v>
      </c>
      <c r="AP144">
        <f t="shared" si="50"/>
        <v>27</v>
      </c>
      <c r="AQ144">
        <f t="shared" si="51"/>
        <v>3.676436513502399E-3</v>
      </c>
      <c r="AR144" cm="1">
        <f t="array" ref="AR144">_xlfn.IFS(AQ144&gt;0.9,0,AQ144&lt;0.01,0)</f>
        <v>0</v>
      </c>
      <c r="BA144">
        <v>36.5</v>
      </c>
      <c r="BB144">
        <v>9.25</v>
      </c>
      <c r="BC144">
        <f t="shared" si="52"/>
        <v>18.75</v>
      </c>
      <c r="BD144">
        <f t="shared" si="53"/>
        <v>2.497352559457932E-2</v>
      </c>
      <c r="BE144" t="e" cm="1">
        <f t="array" ref="BE144">_xlfn.IFS(BD144&gt;0.9,0,BD144&lt;0.01,0)</f>
        <v>#N/A</v>
      </c>
      <c r="BN144">
        <v>36.5</v>
      </c>
      <c r="BO144">
        <v>89.25</v>
      </c>
      <c r="BP144">
        <f t="shared" si="54"/>
        <v>21.5</v>
      </c>
      <c r="BQ144">
        <f t="shared" si="55"/>
        <v>1.6340782009180092E-2</v>
      </c>
      <c r="BR144" t="e" cm="1">
        <f t="array" ref="BR144">_xlfn.IFS(BQ144&gt;0.9,0,BQ144&lt;0.01,0)</f>
        <v>#N/A</v>
      </c>
      <c r="CA144">
        <v>36.5</v>
      </c>
      <c r="CB144">
        <v>10.5</v>
      </c>
      <c r="CC144">
        <f t="shared" si="56"/>
        <v>13.25</v>
      </c>
      <c r="CD144">
        <f t="shared" si="57"/>
        <v>2.4037094133534095E-2</v>
      </c>
      <c r="CE144" t="e" cm="1">
        <f t="array" ref="CE144">_xlfn.IFS(CD144&gt;0.9,0,CD144&lt;0.01,0)</f>
        <v>#N/A</v>
      </c>
      <c r="CN144">
        <v>36.5</v>
      </c>
      <c r="CO144">
        <v>97.25</v>
      </c>
      <c r="CP144">
        <f t="shared" si="58"/>
        <v>22.5</v>
      </c>
      <c r="CQ144">
        <f t="shared" si="59"/>
        <v>-1.0106627765863154E-2</v>
      </c>
      <c r="CR144" cm="1">
        <f t="array" ref="CR144">_xlfn.IFS(CQ144&gt;0.9,0,CQ144&lt;0.01,0)</f>
        <v>0</v>
      </c>
      <c r="DA144">
        <v>36.5</v>
      </c>
      <c r="DB144">
        <v>98</v>
      </c>
      <c r="DC144">
        <f t="shared" si="60"/>
        <v>21.75</v>
      </c>
      <c r="DD144">
        <f t="shared" si="61"/>
        <v>-6.6733164440763984E-4</v>
      </c>
      <c r="DE144" cm="1">
        <f t="array" ref="DE144">_xlfn.IFS(DD144&gt;0.9,0,DD144&lt;0.01,0)</f>
        <v>0</v>
      </c>
      <c r="DN144">
        <v>36.5</v>
      </c>
      <c r="DO144">
        <v>99.75</v>
      </c>
      <c r="DP144">
        <f t="shared" si="62"/>
        <v>23.25</v>
      </c>
      <c r="DQ144">
        <f t="shared" si="63"/>
        <v>5.8508569133403283E-4</v>
      </c>
      <c r="DR144" cm="1">
        <f t="array" ref="DR144">_xlfn.IFS(DQ144&gt;0.9,0,DQ144&lt;0.01,0)</f>
        <v>0</v>
      </c>
    </row>
    <row r="145" spans="1:122" x14ac:dyDescent="0.4">
      <c r="A145">
        <v>36.75</v>
      </c>
      <c r="B145">
        <v>99.75</v>
      </c>
      <c r="C145">
        <f t="shared" si="44"/>
        <v>24.55</v>
      </c>
      <c r="D145">
        <f t="shared" si="45"/>
        <v>9.0722813777418534E-4</v>
      </c>
      <c r="E145" cm="1">
        <f t="array" ref="E145">_xlfn.IFS(D145&gt;0.9,0,D145&lt;0.01,0)</f>
        <v>0</v>
      </c>
      <c r="N145">
        <v>36.75</v>
      </c>
      <c r="O145">
        <v>10.25</v>
      </c>
      <c r="P145">
        <f t="shared" si="46"/>
        <v>14.75</v>
      </c>
      <c r="Q145">
        <f t="shared" si="47"/>
        <v>2.9868445161053907E-2</v>
      </c>
      <c r="R145" t="e" cm="1">
        <f t="array" ref="R145">_xlfn.IFS(Q145&gt;0.9,0,Q145&lt;0.01,0)</f>
        <v>#N/A</v>
      </c>
      <c r="AA145">
        <v>35.75</v>
      </c>
      <c r="AB145">
        <v>25.75</v>
      </c>
      <c r="AC145">
        <f t="shared" si="48"/>
        <v>22.75</v>
      </c>
      <c r="AD145">
        <f t="shared" si="49"/>
        <v>1.4184601219933275E-2</v>
      </c>
      <c r="AE145" t="e" cm="1">
        <f t="array" ref="AE145">_xlfn.IFS(AD145&gt;0.9,0,AD145&lt;0.01,0)</f>
        <v>#N/A</v>
      </c>
      <c r="AN145">
        <v>36.75</v>
      </c>
      <c r="AO145">
        <v>27.25</v>
      </c>
      <c r="AP145">
        <f t="shared" si="50"/>
        <v>27.25</v>
      </c>
      <c r="AQ145">
        <f t="shared" si="51"/>
        <v>3.676436513502399E-3</v>
      </c>
      <c r="AR145" cm="1">
        <f t="array" ref="AR145">_xlfn.IFS(AQ145&gt;0.9,0,AQ145&lt;0.01,0)</f>
        <v>0</v>
      </c>
      <c r="BA145">
        <v>36.75</v>
      </c>
      <c r="BB145">
        <v>9.25</v>
      </c>
      <c r="BC145">
        <f t="shared" si="52"/>
        <v>19</v>
      </c>
      <c r="BD145">
        <f t="shared" si="53"/>
        <v>2.497352559457932E-2</v>
      </c>
      <c r="BE145" t="e" cm="1">
        <f t="array" ref="BE145">_xlfn.IFS(BD145&gt;0.9,0,BD145&lt;0.01,0)</f>
        <v>#N/A</v>
      </c>
      <c r="BN145">
        <v>36.75</v>
      </c>
      <c r="BO145">
        <v>89.5</v>
      </c>
      <c r="BP145">
        <f t="shared" si="54"/>
        <v>21.75</v>
      </c>
      <c r="BQ145">
        <f t="shared" si="55"/>
        <v>1.3365437308086607E-2</v>
      </c>
      <c r="BR145" t="e" cm="1">
        <f t="array" ref="BR145">_xlfn.IFS(BQ145&gt;0.9,0,BQ145&lt;0.01,0)</f>
        <v>#N/A</v>
      </c>
      <c r="CA145">
        <v>36.75</v>
      </c>
      <c r="CB145">
        <v>10.25</v>
      </c>
      <c r="CC145">
        <f t="shared" si="56"/>
        <v>13.5</v>
      </c>
      <c r="CD145">
        <f t="shared" si="57"/>
        <v>2.1059047072742258E-2</v>
      </c>
      <c r="CE145" t="e" cm="1">
        <f t="array" ref="CE145">_xlfn.IFS(CD145&gt;0.9,0,CD145&lt;0.01,0)</f>
        <v>#N/A</v>
      </c>
      <c r="CN145">
        <v>36.75</v>
      </c>
      <c r="CO145">
        <v>97</v>
      </c>
      <c r="CP145">
        <f t="shared" si="58"/>
        <v>22.75</v>
      </c>
      <c r="CQ145">
        <f t="shared" si="59"/>
        <v>-7.3241068303248891E-3</v>
      </c>
      <c r="CR145" cm="1">
        <f t="array" ref="CR145">_xlfn.IFS(CQ145&gt;0.9,0,CQ145&lt;0.01,0)</f>
        <v>0</v>
      </c>
      <c r="DA145">
        <v>36.75</v>
      </c>
      <c r="DB145">
        <v>98</v>
      </c>
      <c r="DC145">
        <f t="shared" si="60"/>
        <v>22</v>
      </c>
      <c r="DD145">
        <f t="shared" si="61"/>
        <v>-6.6733164440763984E-4</v>
      </c>
      <c r="DE145" cm="1">
        <f t="array" ref="DE145">_xlfn.IFS(DD145&gt;0.9,0,DD145&lt;0.01,0)</f>
        <v>0</v>
      </c>
      <c r="DN145">
        <v>36.75</v>
      </c>
      <c r="DO145">
        <v>99.75</v>
      </c>
      <c r="DP145">
        <f t="shared" si="62"/>
        <v>23.5</v>
      </c>
      <c r="DQ145">
        <f t="shared" si="63"/>
        <v>5.8508569133403283E-4</v>
      </c>
      <c r="DR145" cm="1">
        <f t="array" ref="DR145">_xlfn.IFS(DQ145&gt;0.9,0,DQ145&lt;0.01,0)</f>
        <v>0</v>
      </c>
    </row>
    <row r="146" spans="1:122" x14ac:dyDescent="0.4">
      <c r="A146">
        <v>37</v>
      </c>
      <c r="B146">
        <v>99.75</v>
      </c>
      <c r="C146">
        <f t="shared" si="44"/>
        <v>24.8</v>
      </c>
      <c r="D146">
        <f t="shared" si="45"/>
        <v>9.0722813777418534E-4</v>
      </c>
      <c r="E146" cm="1">
        <f t="array" ref="E146">_xlfn.IFS(D146&gt;0.9,0,D146&lt;0.01,0)</f>
        <v>0</v>
      </c>
      <c r="N146">
        <v>37</v>
      </c>
      <c r="O146">
        <v>10.25</v>
      </c>
      <c r="P146">
        <f t="shared" si="46"/>
        <v>15</v>
      </c>
      <c r="Q146">
        <f t="shared" si="47"/>
        <v>2.9868445161053907E-2</v>
      </c>
      <c r="R146" t="e" cm="1">
        <f t="array" ref="R146">_xlfn.IFS(Q146&gt;0.9,0,Q146&lt;0.01,0)</f>
        <v>#N/A</v>
      </c>
      <c r="AA146">
        <v>36</v>
      </c>
      <c r="AB146">
        <v>26</v>
      </c>
      <c r="AC146">
        <f t="shared" si="48"/>
        <v>23</v>
      </c>
      <c r="AD146">
        <f t="shared" si="49"/>
        <v>9.7824835999542423E-4</v>
      </c>
      <c r="AE146" cm="1">
        <f t="array" ref="AE146">_xlfn.IFS(AD146&gt;0.9,0,AD146&lt;0.01,0)</f>
        <v>0</v>
      </c>
      <c r="AN146">
        <v>37</v>
      </c>
      <c r="AO146">
        <v>27.25</v>
      </c>
      <c r="AP146">
        <f t="shared" si="50"/>
        <v>27.5</v>
      </c>
      <c r="AQ146">
        <f t="shared" si="51"/>
        <v>3.676436513502399E-3</v>
      </c>
      <c r="AR146" cm="1">
        <f t="array" ref="AR146">_xlfn.IFS(AQ146&gt;0.9,0,AQ146&lt;0.01,0)</f>
        <v>0</v>
      </c>
      <c r="BA146">
        <v>37</v>
      </c>
      <c r="BB146">
        <v>9.25</v>
      </c>
      <c r="BC146">
        <f t="shared" si="52"/>
        <v>19.25</v>
      </c>
      <c r="BD146">
        <f t="shared" si="53"/>
        <v>2.497352559457932E-2</v>
      </c>
      <c r="BE146" t="e" cm="1">
        <f t="array" ref="BE146">_xlfn.IFS(BD146&gt;0.9,0,BD146&lt;0.01,0)</f>
        <v>#N/A</v>
      </c>
      <c r="BN146">
        <v>37</v>
      </c>
      <c r="BO146">
        <v>89.5</v>
      </c>
      <c r="BP146">
        <f t="shared" si="54"/>
        <v>22</v>
      </c>
      <c r="BQ146">
        <f t="shared" si="55"/>
        <v>1.3365437308086607E-2</v>
      </c>
      <c r="BR146" t="e" cm="1">
        <f t="array" ref="BR146">_xlfn.IFS(BQ146&gt;0.9,0,BQ146&lt;0.01,0)</f>
        <v>#N/A</v>
      </c>
      <c r="CA146">
        <v>37</v>
      </c>
      <c r="CB146">
        <v>10.25</v>
      </c>
      <c r="CC146">
        <f t="shared" si="56"/>
        <v>13.75</v>
      </c>
      <c r="CD146">
        <f t="shared" si="57"/>
        <v>2.1059047072742258E-2</v>
      </c>
      <c r="CE146" t="e" cm="1">
        <f t="array" ref="CE146">_xlfn.IFS(CD146&gt;0.9,0,CD146&lt;0.01,0)</f>
        <v>#N/A</v>
      </c>
      <c r="CN146">
        <v>37</v>
      </c>
      <c r="CO146">
        <v>96.75</v>
      </c>
      <c r="CP146">
        <f t="shared" si="58"/>
        <v>23</v>
      </c>
      <c r="CQ146">
        <f t="shared" si="59"/>
        <v>-4.541585894786624E-3</v>
      </c>
      <c r="CR146" cm="1">
        <f t="array" ref="CR146">_xlfn.IFS(CQ146&gt;0.9,0,CQ146&lt;0.01,0)</f>
        <v>0</v>
      </c>
      <c r="DA146">
        <v>37</v>
      </c>
      <c r="DB146">
        <v>97.75</v>
      </c>
      <c r="DC146">
        <f t="shared" si="60"/>
        <v>22.25</v>
      </c>
      <c r="DD146">
        <f t="shared" si="61"/>
        <v>2.1449945713099623E-3</v>
      </c>
      <c r="DE146" cm="1">
        <f t="array" ref="DE146">_xlfn.IFS(DD146&gt;0.9,0,DD146&lt;0.01,0)</f>
        <v>0</v>
      </c>
      <c r="DN146">
        <v>37</v>
      </c>
      <c r="DO146">
        <v>99.75</v>
      </c>
      <c r="DP146">
        <f t="shared" si="62"/>
        <v>23.75</v>
      </c>
      <c r="DQ146">
        <f t="shared" si="63"/>
        <v>5.8508569133403283E-4</v>
      </c>
      <c r="DR146" cm="1">
        <f t="array" ref="DR146">_xlfn.IFS(DQ146&gt;0.9,0,DQ146&lt;0.01,0)</f>
        <v>0</v>
      </c>
    </row>
    <row r="147" spans="1:122" x14ac:dyDescent="0.4">
      <c r="A147">
        <v>37.25</v>
      </c>
      <c r="B147">
        <v>99.75</v>
      </c>
      <c r="C147">
        <f t="shared" si="44"/>
        <v>25.05</v>
      </c>
      <c r="D147">
        <f t="shared" si="45"/>
        <v>9.0722813777418534E-4</v>
      </c>
      <c r="E147" cm="1">
        <f t="array" ref="E147">_xlfn.IFS(D147&gt;0.9,0,D147&lt;0.01,0)</f>
        <v>0</v>
      </c>
      <c r="N147">
        <v>37.25</v>
      </c>
      <c r="O147">
        <v>10</v>
      </c>
      <c r="P147">
        <f t="shared" si="46"/>
        <v>15.25</v>
      </c>
      <c r="Q147">
        <f t="shared" si="47"/>
        <v>2.7224156253435453E-2</v>
      </c>
      <c r="R147" t="e" cm="1">
        <f t="array" ref="R147">_xlfn.IFS(Q147&gt;0.9,0,Q147&lt;0.01,0)</f>
        <v>#N/A</v>
      </c>
      <c r="AA147">
        <v>36.25</v>
      </c>
      <c r="AB147">
        <v>26</v>
      </c>
      <c r="AC147">
        <f t="shared" si="48"/>
        <v>23.25</v>
      </c>
      <c r="AD147">
        <f t="shared" si="49"/>
        <v>9.7824835999542423E-4</v>
      </c>
      <c r="AE147" cm="1">
        <f t="array" ref="AE147">_xlfn.IFS(AD147&gt;0.9,0,AD147&lt;0.01,0)</f>
        <v>0</v>
      </c>
      <c r="AN147">
        <v>37.25</v>
      </c>
      <c r="AO147">
        <v>27.25</v>
      </c>
      <c r="AP147">
        <f t="shared" si="50"/>
        <v>27.75</v>
      </c>
      <c r="AQ147">
        <f t="shared" si="51"/>
        <v>3.676436513502399E-3</v>
      </c>
      <c r="AR147" cm="1">
        <f t="array" ref="AR147">_xlfn.IFS(AQ147&gt;0.9,0,AQ147&lt;0.01,0)</f>
        <v>0</v>
      </c>
      <c r="BA147">
        <v>37.25</v>
      </c>
      <c r="BB147">
        <v>9</v>
      </c>
      <c r="BC147">
        <f t="shared" si="52"/>
        <v>19.5</v>
      </c>
      <c r="BD147">
        <f t="shared" si="53"/>
        <v>2.2283288081342115E-2</v>
      </c>
      <c r="BE147" t="e" cm="1">
        <f t="array" ref="BE147">_xlfn.IFS(BD147&gt;0.9,0,BD147&lt;0.01,0)</f>
        <v>#N/A</v>
      </c>
      <c r="BN147">
        <v>37.25</v>
      </c>
      <c r="BO147">
        <v>89.5</v>
      </c>
      <c r="BP147">
        <f t="shared" si="54"/>
        <v>22.25</v>
      </c>
      <c r="BQ147">
        <f t="shared" si="55"/>
        <v>1.3365437308086607E-2</v>
      </c>
      <c r="BR147" t="e" cm="1">
        <f t="array" ref="BR147">_xlfn.IFS(BQ147&gt;0.9,0,BQ147&lt;0.01,0)</f>
        <v>#N/A</v>
      </c>
      <c r="CA147">
        <v>37.25</v>
      </c>
      <c r="CB147">
        <v>10.25</v>
      </c>
      <c r="CC147">
        <f t="shared" si="56"/>
        <v>14</v>
      </c>
      <c r="CD147">
        <f t="shared" si="57"/>
        <v>2.1059047072742258E-2</v>
      </c>
      <c r="CE147" t="e" cm="1">
        <f t="array" ref="CE147">_xlfn.IFS(CD147&gt;0.9,0,CD147&lt;0.01,0)</f>
        <v>#N/A</v>
      </c>
      <c r="CN147">
        <v>37.25</v>
      </c>
      <c r="CO147">
        <v>96.5</v>
      </c>
      <c r="CP147">
        <f t="shared" si="58"/>
        <v>23.25</v>
      </c>
      <c r="CQ147">
        <f t="shared" si="59"/>
        <v>-1.7590649592483594E-3</v>
      </c>
      <c r="CR147" cm="1">
        <f t="array" ref="CR147">_xlfn.IFS(CQ147&gt;0.9,0,CQ147&lt;0.01,0)</f>
        <v>0</v>
      </c>
      <c r="DA147">
        <v>37.25</v>
      </c>
      <c r="DB147">
        <v>97.75</v>
      </c>
      <c r="DC147">
        <f t="shared" si="60"/>
        <v>22.5</v>
      </c>
      <c r="DD147">
        <f t="shared" si="61"/>
        <v>2.1449945713099623E-3</v>
      </c>
      <c r="DE147" cm="1">
        <f t="array" ref="DE147">_xlfn.IFS(DD147&gt;0.9,0,DD147&lt;0.01,0)</f>
        <v>0</v>
      </c>
      <c r="DN147">
        <v>37.25</v>
      </c>
      <c r="DO147">
        <v>99.75</v>
      </c>
      <c r="DP147">
        <f t="shared" si="62"/>
        <v>24</v>
      </c>
      <c r="DQ147">
        <f t="shared" si="63"/>
        <v>5.8508569133403283E-4</v>
      </c>
      <c r="DR147" cm="1">
        <f t="array" ref="DR147">_xlfn.IFS(DQ147&gt;0.9,0,DQ147&lt;0.01,0)</f>
        <v>0</v>
      </c>
    </row>
    <row r="148" spans="1:122" x14ac:dyDescent="0.4">
      <c r="A148">
        <v>37.5</v>
      </c>
      <c r="B148">
        <v>99.75</v>
      </c>
      <c r="C148">
        <f t="shared" si="44"/>
        <v>25.3</v>
      </c>
      <c r="D148">
        <f t="shared" si="45"/>
        <v>9.0722813777418534E-4</v>
      </c>
      <c r="E148" cm="1">
        <f t="array" ref="E148">_xlfn.IFS(D148&gt;0.9,0,D148&lt;0.01,0)</f>
        <v>0</v>
      </c>
      <c r="N148">
        <v>37.5</v>
      </c>
      <c r="O148">
        <v>10</v>
      </c>
      <c r="P148">
        <f t="shared" si="46"/>
        <v>15.5</v>
      </c>
      <c r="Q148">
        <f t="shared" si="47"/>
        <v>2.7224156253435453E-2</v>
      </c>
      <c r="R148" t="e" cm="1">
        <f t="array" ref="R148">_xlfn.IFS(Q148&gt;0.9,0,Q148&lt;0.01,0)</f>
        <v>#N/A</v>
      </c>
      <c r="AA148">
        <v>36.5</v>
      </c>
      <c r="AB148">
        <v>26</v>
      </c>
      <c r="AC148">
        <f t="shared" si="48"/>
        <v>23.5</v>
      </c>
      <c r="AD148">
        <f t="shared" si="49"/>
        <v>9.7824835999542423E-4</v>
      </c>
      <c r="AE148" cm="1">
        <f t="array" ref="AE148">_xlfn.IFS(AD148&gt;0.9,0,AD148&lt;0.01,0)</f>
        <v>0</v>
      </c>
      <c r="AN148">
        <v>37.5</v>
      </c>
      <c r="AO148">
        <v>27.25</v>
      </c>
      <c r="AP148">
        <f t="shared" si="50"/>
        <v>28</v>
      </c>
      <c r="AQ148">
        <f t="shared" si="51"/>
        <v>3.676436513502399E-3</v>
      </c>
      <c r="AR148" cm="1">
        <f t="array" ref="AR148">_xlfn.IFS(AQ148&gt;0.9,0,AQ148&lt;0.01,0)</f>
        <v>0</v>
      </c>
      <c r="BA148">
        <v>37.5</v>
      </c>
      <c r="BB148">
        <v>9</v>
      </c>
      <c r="BC148">
        <f t="shared" si="52"/>
        <v>19.75</v>
      </c>
      <c r="BD148">
        <f t="shared" si="53"/>
        <v>2.2283288081342115E-2</v>
      </c>
      <c r="BE148" t="e" cm="1">
        <f t="array" ref="BE148">_xlfn.IFS(BD148&gt;0.9,0,BD148&lt;0.01,0)</f>
        <v>#N/A</v>
      </c>
      <c r="BN148">
        <v>37.5</v>
      </c>
      <c r="BO148">
        <v>89.5</v>
      </c>
      <c r="BP148">
        <f t="shared" si="54"/>
        <v>22.5</v>
      </c>
      <c r="BQ148">
        <f t="shared" si="55"/>
        <v>1.3365437308086607E-2</v>
      </c>
      <c r="BR148" t="e" cm="1">
        <f t="array" ref="BR148">_xlfn.IFS(BQ148&gt;0.9,0,BQ148&lt;0.01,0)</f>
        <v>#N/A</v>
      </c>
      <c r="CA148">
        <v>37.5</v>
      </c>
      <c r="CB148">
        <v>10.25</v>
      </c>
      <c r="CC148">
        <f t="shared" si="56"/>
        <v>14.25</v>
      </c>
      <c r="CD148">
        <f t="shared" si="57"/>
        <v>2.1059047072742258E-2</v>
      </c>
      <c r="CE148" t="e" cm="1">
        <f t="array" ref="CE148">_xlfn.IFS(CD148&gt;0.9,0,CD148&lt;0.01,0)</f>
        <v>#N/A</v>
      </c>
      <c r="CN148">
        <v>37.5</v>
      </c>
      <c r="CO148">
        <v>96.25</v>
      </c>
      <c r="CP148">
        <f t="shared" si="58"/>
        <v>23.5</v>
      </c>
      <c r="CQ148">
        <f t="shared" si="59"/>
        <v>1.0234559762899056E-3</v>
      </c>
      <c r="CR148" cm="1">
        <f t="array" ref="CR148">_xlfn.IFS(CQ148&gt;0.9,0,CQ148&lt;0.01,0)</f>
        <v>0</v>
      </c>
      <c r="DA148">
        <v>37.5</v>
      </c>
      <c r="DB148">
        <v>97.75</v>
      </c>
      <c r="DC148">
        <f t="shared" si="60"/>
        <v>22.75</v>
      </c>
      <c r="DD148">
        <f t="shared" si="61"/>
        <v>2.1449945713099623E-3</v>
      </c>
      <c r="DE148" cm="1">
        <f t="array" ref="DE148">_xlfn.IFS(DD148&gt;0.9,0,DD148&lt;0.01,0)</f>
        <v>0</v>
      </c>
      <c r="DN148">
        <v>37.5</v>
      </c>
      <c r="DO148">
        <v>100</v>
      </c>
      <c r="DP148">
        <f t="shared" si="62"/>
        <v>24.25</v>
      </c>
      <c r="DQ148">
        <f t="shared" si="63"/>
        <v>-2.0715196098585933E-3</v>
      </c>
      <c r="DR148" cm="1">
        <f t="array" ref="DR148">_xlfn.IFS(DQ148&gt;0.9,0,DQ148&lt;0.01,0)</f>
        <v>0</v>
      </c>
    </row>
    <row r="149" spans="1:122" x14ac:dyDescent="0.4">
      <c r="A149">
        <v>37.75</v>
      </c>
      <c r="B149">
        <v>99.75</v>
      </c>
      <c r="C149">
        <f t="shared" si="44"/>
        <v>25.55</v>
      </c>
      <c r="D149">
        <f t="shared" si="45"/>
        <v>9.0722813777418534E-4</v>
      </c>
      <c r="E149" cm="1">
        <f t="array" ref="E149">_xlfn.IFS(D149&gt;0.9,0,D149&lt;0.01,0)</f>
        <v>0</v>
      </c>
      <c r="N149">
        <v>37.75</v>
      </c>
      <c r="O149">
        <v>9.75</v>
      </c>
      <c r="P149">
        <f t="shared" si="46"/>
        <v>15.75</v>
      </c>
      <c r="Q149">
        <f t="shared" si="47"/>
        <v>2.4579867345816998E-2</v>
      </c>
      <c r="R149" t="e" cm="1">
        <f t="array" ref="R149">_xlfn.IFS(Q149&gt;0.9,0,Q149&lt;0.01,0)</f>
        <v>#N/A</v>
      </c>
      <c r="AA149">
        <v>36.75</v>
      </c>
      <c r="AB149">
        <v>26</v>
      </c>
      <c r="AC149">
        <f t="shared" si="48"/>
        <v>23.75</v>
      </c>
      <c r="AD149">
        <f t="shared" si="49"/>
        <v>9.7824835999542423E-4</v>
      </c>
      <c r="AE149" cm="1">
        <f t="array" ref="AE149">_xlfn.IFS(AD149&gt;0.9,0,AD149&lt;0.01,0)</f>
        <v>0</v>
      </c>
      <c r="AN149">
        <v>37.75</v>
      </c>
      <c r="AO149">
        <v>27.25</v>
      </c>
      <c r="AP149">
        <f t="shared" si="50"/>
        <v>28.25</v>
      </c>
      <c r="AQ149">
        <f t="shared" si="51"/>
        <v>3.676436513502399E-3</v>
      </c>
      <c r="AR149" cm="1">
        <f t="array" ref="AR149">_xlfn.IFS(AQ149&gt;0.9,0,AQ149&lt;0.01,0)</f>
        <v>0</v>
      </c>
      <c r="BA149">
        <v>37.75</v>
      </c>
      <c r="BB149">
        <v>9</v>
      </c>
      <c r="BC149">
        <f t="shared" si="52"/>
        <v>20</v>
      </c>
      <c r="BD149">
        <f t="shared" si="53"/>
        <v>2.2283288081342115E-2</v>
      </c>
      <c r="BE149" t="e" cm="1">
        <f t="array" ref="BE149">_xlfn.IFS(BD149&gt;0.9,0,BD149&lt;0.01,0)</f>
        <v>#N/A</v>
      </c>
      <c r="BN149">
        <v>37.75</v>
      </c>
      <c r="BO149">
        <v>89.5</v>
      </c>
      <c r="BP149">
        <f t="shared" si="54"/>
        <v>22.75</v>
      </c>
      <c r="BQ149">
        <f t="shared" si="55"/>
        <v>1.3365437308086607E-2</v>
      </c>
      <c r="BR149" t="e" cm="1">
        <f t="array" ref="BR149">_xlfn.IFS(BQ149&gt;0.9,0,BQ149&lt;0.01,0)</f>
        <v>#N/A</v>
      </c>
      <c r="CA149">
        <v>37.75</v>
      </c>
      <c r="CB149">
        <v>10.25</v>
      </c>
      <c r="CC149">
        <f t="shared" si="56"/>
        <v>14.5</v>
      </c>
      <c r="CD149">
        <f t="shared" si="57"/>
        <v>2.1059047072742258E-2</v>
      </c>
      <c r="CE149" t="e" cm="1">
        <f t="array" ref="CE149">_xlfn.IFS(CD149&gt;0.9,0,CD149&lt;0.01,0)</f>
        <v>#N/A</v>
      </c>
      <c r="CN149">
        <v>37.75</v>
      </c>
      <c r="CO149">
        <v>96</v>
      </c>
      <c r="CP149">
        <f t="shared" si="58"/>
        <v>23.75</v>
      </c>
      <c r="CQ149">
        <f t="shared" si="59"/>
        <v>3.8059769118281707E-3</v>
      </c>
      <c r="CR149" cm="1">
        <f t="array" ref="CR149">_xlfn.IFS(CQ149&gt;0.9,0,CQ149&lt;0.01,0)</f>
        <v>0</v>
      </c>
      <c r="DA149">
        <v>37.75</v>
      </c>
      <c r="DB149">
        <v>97.75</v>
      </c>
      <c r="DC149">
        <f t="shared" si="60"/>
        <v>23</v>
      </c>
      <c r="DD149">
        <f t="shared" si="61"/>
        <v>2.1449945713099623E-3</v>
      </c>
      <c r="DE149" cm="1">
        <f t="array" ref="DE149">_xlfn.IFS(DD149&gt;0.9,0,DD149&lt;0.01,0)</f>
        <v>0</v>
      </c>
      <c r="DN149">
        <v>37.75</v>
      </c>
      <c r="DO149">
        <v>100</v>
      </c>
      <c r="DP149">
        <f t="shared" si="62"/>
        <v>24.5</v>
      </c>
      <c r="DQ149">
        <f t="shared" si="63"/>
        <v>-2.0715196098585933E-3</v>
      </c>
      <c r="DR149" cm="1">
        <f t="array" ref="DR149">_xlfn.IFS(DQ149&gt;0.9,0,DQ149&lt;0.01,0)</f>
        <v>0</v>
      </c>
    </row>
    <row r="150" spans="1:122" x14ac:dyDescent="0.4">
      <c r="A150">
        <v>38</v>
      </c>
      <c r="B150">
        <v>99.75</v>
      </c>
      <c r="C150">
        <f t="shared" si="44"/>
        <v>25.8</v>
      </c>
      <c r="D150">
        <f t="shared" si="45"/>
        <v>9.0722813777418534E-4</v>
      </c>
      <c r="E150" cm="1">
        <f t="array" ref="E150">_xlfn.IFS(D150&gt;0.9,0,D150&lt;0.01,0)</f>
        <v>0</v>
      </c>
      <c r="N150">
        <v>38</v>
      </c>
      <c r="O150">
        <v>9.75</v>
      </c>
      <c r="P150">
        <f t="shared" si="46"/>
        <v>16</v>
      </c>
      <c r="Q150">
        <f t="shared" si="47"/>
        <v>2.4579867345816998E-2</v>
      </c>
      <c r="R150" t="e" cm="1">
        <f t="array" ref="R150">_xlfn.IFS(Q150&gt;0.9,0,Q150&lt;0.01,0)</f>
        <v>#N/A</v>
      </c>
      <c r="AA150">
        <v>37</v>
      </c>
      <c r="AB150">
        <v>26</v>
      </c>
      <c r="AC150">
        <f t="shared" si="48"/>
        <v>24</v>
      </c>
      <c r="AD150">
        <f t="shared" si="49"/>
        <v>9.7824835999542423E-4</v>
      </c>
      <c r="AE150" cm="1">
        <f t="array" ref="AE150">_xlfn.IFS(AD150&gt;0.9,0,AD150&lt;0.01,0)</f>
        <v>0</v>
      </c>
      <c r="AN150">
        <v>38</v>
      </c>
      <c r="AO150">
        <v>27.25</v>
      </c>
      <c r="AP150">
        <f t="shared" si="50"/>
        <v>28.5</v>
      </c>
      <c r="AQ150">
        <f t="shared" si="51"/>
        <v>3.676436513502399E-3</v>
      </c>
      <c r="AR150" cm="1">
        <f t="array" ref="AR150">_xlfn.IFS(AQ150&gt;0.9,0,AQ150&lt;0.01,0)</f>
        <v>0</v>
      </c>
      <c r="BA150">
        <v>38</v>
      </c>
      <c r="BB150">
        <v>9</v>
      </c>
      <c r="BC150">
        <f t="shared" si="52"/>
        <v>20.25</v>
      </c>
      <c r="BD150">
        <f t="shared" si="53"/>
        <v>2.2283288081342115E-2</v>
      </c>
      <c r="BE150" t="e" cm="1">
        <f t="array" ref="BE150">_xlfn.IFS(BD150&gt;0.9,0,BD150&lt;0.01,0)</f>
        <v>#N/A</v>
      </c>
      <c r="BN150">
        <v>38</v>
      </c>
      <c r="BO150">
        <v>89.5</v>
      </c>
      <c r="BP150">
        <f t="shared" si="54"/>
        <v>23</v>
      </c>
      <c r="BQ150">
        <f t="shared" si="55"/>
        <v>1.3365437308086607E-2</v>
      </c>
      <c r="BR150" t="e" cm="1">
        <f t="array" ref="BR150">_xlfn.IFS(BQ150&gt;0.9,0,BQ150&lt;0.01,0)</f>
        <v>#N/A</v>
      </c>
      <c r="CA150">
        <v>38</v>
      </c>
      <c r="CB150">
        <v>10</v>
      </c>
      <c r="CC150">
        <f t="shared" si="56"/>
        <v>14.75</v>
      </c>
      <c r="CD150">
        <f t="shared" si="57"/>
        <v>1.8081000011950423E-2</v>
      </c>
      <c r="CE150" t="e" cm="1">
        <f t="array" ref="CE150">_xlfn.IFS(CD150&gt;0.9,0,CD150&lt;0.01,0)</f>
        <v>#N/A</v>
      </c>
      <c r="CN150">
        <v>38</v>
      </c>
      <c r="CO150">
        <v>95.75</v>
      </c>
      <c r="CP150">
        <f t="shared" si="58"/>
        <v>24</v>
      </c>
      <c r="CQ150">
        <f t="shared" si="59"/>
        <v>6.5884978473664353E-3</v>
      </c>
      <c r="CR150" cm="1">
        <f t="array" ref="CR150">_xlfn.IFS(CQ150&gt;0.9,0,CQ150&lt;0.01,0)</f>
        <v>0</v>
      </c>
      <c r="DA150">
        <v>38</v>
      </c>
      <c r="DB150">
        <v>97.75</v>
      </c>
      <c r="DC150">
        <f t="shared" si="60"/>
        <v>23.25</v>
      </c>
      <c r="DD150">
        <f t="shared" si="61"/>
        <v>2.1449945713099623E-3</v>
      </c>
      <c r="DE150" cm="1">
        <f t="array" ref="DE150">_xlfn.IFS(DD150&gt;0.9,0,DD150&lt;0.01,0)</f>
        <v>0</v>
      </c>
      <c r="DN150">
        <v>38</v>
      </c>
      <c r="DO150">
        <v>100</v>
      </c>
      <c r="DP150">
        <f t="shared" si="62"/>
        <v>24.75</v>
      </c>
      <c r="DQ150">
        <f t="shared" si="63"/>
        <v>-2.0715196098585933E-3</v>
      </c>
      <c r="DR150" cm="1">
        <f t="array" ref="DR150">_xlfn.IFS(DQ150&gt;0.9,0,DQ150&lt;0.01,0)</f>
        <v>0</v>
      </c>
    </row>
    <row r="151" spans="1:122" x14ac:dyDescent="0.4">
      <c r="A151">
        <v>38.25</v>
      </c>
      <c r="B151">
        <v>99.75</v>
      </c>
      <c r="C151">
        <f t="shared" si="44"/>
        <v>26.05</v>
      </c>
      <c r="D151">
        <f t="shared" si="45"/>
        <v>9.0722813777418534E-4</v>
      </c>
      <c r="E151" cm="1">
        <f t="array" ref="E151">_xlfn.IFS(D151&gt;0.9,0,D151&lt;0.01,0)</f>
        <v>0</v>
      </c>
      <c r="N151">
        <v>38.25</v>
      </c>
      <c r="O151">
        <v>9.75</v>
      </c>
      <c r="P151">
        <f t="shared" si="46"/>
        <v>16.25</v>
      </c>
      <c r="Q151">
        <f t="shared" si="47"/>
        <v>2.4579867345816998E-2</v>
      </c>
      <c r="R151" t="e" cm="1">
        <f t="array" ref="R151">_xlfn.IFS(Q151&gt;0.9,0,Q151&lt;0.01,0)</f>
        <v>#N/A</v>
      </c>
      <c r="AA151">
        <v>37.25</v>
      </c>
      <c r="AB151">
        <v>26</v>
      </c>
      <c r="AC151">
        <f t="shared" si="48"/>
        <v>24.25</v>
      </c>
      <c r="AD151">
        <f t="shared" si="49"/>
        <v>9.7824835999542423E-4</v>
      </c>
      <c r="AE151" cm="1">
        <f t="array" ref="AE151">_xlfn.IFS(AD151&gt;0.9,0,AD151&lt;0.01,0)</f>
        <v>0</v>
      </c>
      <c r="AN151">
        <v>38.25</v>
      </c>
      <c r="AO151">
        <v>27.25</v>
      </c>
      <c r="AP151">
        <f t="shared" si="50"/>
        <v>28.75</v>
      </c>
      <c r="AQ151">
        <f t="shared" si="51"/>
        <v>3.676436513502399E-3</v>
      </c>
      <c r="AR151" cm="1">
        <f t="array" ref="AR151">_xlfn.IFS(AQ151&gt;0.9,0,AQ151&lt;0.01,0)</f>
        <v>0</v>
      </c>
      <c r="BA151">
        <v>38.25</v>
      </c>
      <c r="BB151">
        <v>8.75</v>
      </c>
      <c r="BC151">
        <f t="shared" si="52"/>
        <v>20.5</v>
      </c>
      <c r="BD151">
        <f t="shared" si="53"/>
        <v>1.9593050568104911E-2</v>
      </c>
      <c r="BE151" t="e" cm="1">
        <f t="array" ref="BE151">_xlfn.IFS(BD151&gt;0.9,0,BD151&lt;0.01,0)</f>
        <v>#N/A</v>
      </c>
      <c r="BN151">
        <v>38.25</v>
      </c>
      <c r="BO151">
        <v>89.5</v>
      </c>
      <c r="BP151">
        <f t="shared" si="54"/>
        <v>23.25</v>
      </c>
      <c r="BQ151">
        <f t="shared" si="55"/>
        <v>1.3365437308086607E-2</v>
      </c>
      <c r="BR151" t="e" cm="1">
        <f t="array" ref="BR151">_xlfn.IFS(BQ151&gt;0.9,0,BQ151&lt;0.01,0)</f>
        <v>#N/A</v>
      </c>
      <c r="CA151">
        <v>38.25</v>
      </c>
      <c r="CB151">
        <v>10</v>
      </c>
      <c r="CC151">
        <f t="shared" si="56"/>
        <v>15</v>
      </c>
      <c r="CD151">
        <f t="shared" si="57"/>
        <v>1.8081000011950423E-2</v>
      </c>
      <c r="CE151" t="e" cm="1">
        <f t="array" ref="CE151">_xlfn.IFS(CD151&gt;0.9,0,CD151&lt;0.01,0)</f>
        <v>#N/A</v>
      </c>
      <c r="CN151">
        <v>38.25</v>
      </c>
      <c r="CO151">
        <v>96</v>
      </c>
      <c r="CP151">
        <f t="shared" si="58"/>
        <v>24.25</v>
      </c>
      <c r="CQ151">
        <f t="shared" si="59"/>
        <v>3.8059769118281707E-3</v>
      </c>
      <c r="CR151" cm="1">
        <f t="array" ref="CR151">_xlfn.IFS(CQ151&gt;0.9,0,CQ151&lt;0.01,0)</f>
        <v>0</v>
      </c>
      <c r="DA151">
        <v>38.25</v>
      </c>
      <c r="DB151">
        <v>97.75</v>
      </c>
      <c r="DC151">
        <f t="shared" si="60"/>
        <v>23.5</v>
      </c>
      <c r="DD151">
        <f t="shared" si="61"/>
        <v>2.1449945713099623E-3</v>
      </c>
      <c r="DE151" cm="1">
        <f t="array" ref="DE151">_xlfn.IFS(DD151&gt;0.9,0,DD151&lt;0.01,0)</f>
        <v>0</v>
      </c>
      <c r="DN151">
        <v>38.25</v>
      </c>
      <c r="DO151">
        <v>100</v>
      </c>
      <c r="DP151">
        <f t="shared" si="62"/>
        <v>25</v>
      </c>
      <c r="DQ151">
        <f t="shared" si="63"/>
        <v>-2.0715196098585933E-3</v>
      </c>
      <c r="DR151" cm="1">
        <f t="array" ref="DR151">_xlfn.IFS(DQ151&gt;0.9,0,DQ151&lt;0.01,0)</f>
        <v>0</v>
      </c>
    </row>
    <row r="152" spans="1:122" x14ac:dyDescent="0.4">
      <c r="A152">
        <v>38.5</v>
      </c>
      <c r="B152">
        <v>99.75</v>
      </c>
      <c r="C152">
        <f t="shared" si="44"/>
        <v>26.3</v>
      </c>
      <c r="D152">
        <f t="shared" si="45"/>
        <v>9.0722813777418534E-4</v>
      </c>
      <c r="E152" cm="1">
        <f t="array" ref="E152">_xlfn.IFS(D152&gt;0.9,0,D152&lt;0.01,0)</f>
        <v>0</v>
      </c>
      <c r="N152">
        <v>38.5</v>
      </c>
      <c r="O152">
        <v>9.5</v>
      </c>
      <c r="P152">
        <f t="shared" si="46"/>
        <v>16.5</v>
      </c>
      <c r="Q152">
        <f t="shared" si="47"/>
        <v>2.1935578438198544E-2</v>
      </c>
      <c r="R152" t="e" cm="1">
        <f t="array" ref="R152">_xlfn.IFS(Q152&gt;0.9,0,Q152&lt;0.01,0)</f>
        <v>#N/A</v>
      </c>
      <c r="AA152">
        <v>37.5</v>
      </c>
      <c r="AB152">
        <v>26</v>
      </c>
      <c r="AC152">
        <f t="shared" si="48"/>
        <v>24.5</v>
      </c>
      <c r="AD152">
        <f t="shared" si="49"/>
        <v>9.7824835999542423E-4</v>
      </c>
      <c r="AE152" cm="1">
        <f t="array" ref="AE152">_xlfn.IFS(AD152&gt;0.9,0,AD152&lt;0.01,0)</f>
        <v>0</v>
      </c>
      <c r="AN152">
        <v>38.5</v>
      </c>
      <c r="AO152">
        <v>27.25</v>
      </c>
      <c r="AP152">
        <f t="shared" si="50"/>
        <v>29</v>
      </c>
      <c r="AQ152">
        <f t="shared" si="51"/>
        <v>3.676436513502399E-3</v>
      </c>
      <c r="AR152" cm="1">
        <f t="array" ref="AR152">_xlfn.IFS(AQ152&gt;0.9,0,AQ152&lt;0.01,0)</f>
        <v>0</v>
      </c>
      <c r="BA152">
        <v>38.5</v>
      </c>
      <c r="BB152">
        <v>8.75</v>
      </c>
      <c r="BC152">
        <f t="shared" si="52"/>
        <v>20.75</v>
      </c>
      <c r="BD152">
        <f t="shared" si="53"/>
        <v>1.9593050568104911E-2</v>
      </c>
      <c r="BE152" t="e" cm="1">
        <f t="array" ref="BE152">_xlfn.IFS(BD152&gt;0.9,0,BD152&lt;0.01,0)</f>
        <v>#N/A</v>
      </c>
      <c r="BN152">
        <v>38.5</v>
      </c>
      <c r="BO152">
        <v>89.5</v>
      </c>
      <c r="BP152">
        <f t="shared" si="54"/>
        <v>23.5</v>
      </c>
      <c r="BQ152">
        <f t="shared" si="55"/>
        <v>1.3365437308086607E-2</v>
      </c>
      <c r="BR152" t="e" cm="1">
        <f t="array" ref="BR152">_xlfn.IFS(BQ152&gt;0.9,0,BQ152&lt;0.01,0)</f>
        <v>#N/A</v>
      </c>
      <c r="CA152">
        <v>38.5</v>
      </c>
      <c r="CB152">
        <v>10</v>
      </c>
      <c r="CC152">
        <f t="shared" si="56"/>
        <v>15.25</v>
      </c>
      <c r="CD152">
        <f t="shared" si="57"/>
        <v>1.8081000011950423E-2</v>
      </c>
      <c r="CE152" t="e" cm="1">
        <f t="array" ref="CE152">_xlfn.IFS(CD152&gt;0.9,0,CD152&lt;0.01,0)</f>
        <v>#N/A</v>
      </c>
      <c r="CN152">
        <v>38.5</v>
      </c>
      <c r="CO152">
        <v>96</v>
      </c>
      <c r="CP152">
        <f t="shared" si="58"/>
        <v>24.5</v>
      </c>
      <c r="CQ152">
        <f t="shared" si="59"/>
        <v>3.8059769118281707E-3</v>
      </c>
      <c r="CR152" cm="1">
        <f t="array" ref="CR152">_xlfn.IFS(CQ152&gt;0.9,0,CQ152&lt;0.01,0)</f>
        <v>0</v>
      </c>
      <c r="DA152">
        <v>38.5</v>
      </c>
      <c r="DB152">
        <v>97.75</v>
      </c>
      <c r="DC152">
        <f t="shared" si="60"/>
        <v>23.75</v>
      </c>
      <c r="DD152">
        <f t="shared" si="61"/>
        <v>2.1449945713099623E-3</v>
      </c>
      <c r="DE152" cm="1">
        <f t="array" ref="DE152">_xlfn.IFS(DD152&gt;0.9,0,DD152&lt;0.01,0)</f>
        <v>0</v>
      </c>
      <c r="DN152">
        <v>38.5</v>
      </c>
      <c r="DO152">
        <v>100</v>
      </c>
      <c r="DP152">
        <f t="shared" si="62"/>
        <v>25.25</v>
      </c>
      <c r="DQ152">
        <f t="shared" si="63"/>
        <v>-2.0715196098585933E-3</v>
      </c>
      <c r="DR152" cm="1">
        <f t="array" ref="DR152">_xlfn.IFS(DQ152&gt;0.9,0,DQ152&lt;0.01,0)</f>
        <v>0</v>
      </c>
    </row>
    <row r="153" spans="1:122" x14ac:dyDescent="0.4">
      <c r="A153">
        <v>38.75</v>
      </c>
      <c r="B153">
        <v>99.75</v>
      </c>
      <c r="C153">
        <f t="shared" si="44"/>
        <v>26.55</v>
      </c>
      <c r="D153">
        <f t="shared" si="45"/>
        <v>9.0722813777418534E-4</v>
      </c>
      <c r="E153" cm="1">
        <f t="array" ref="E153">_xlfn.IFS(D153&gt;0.9,0,D153&lt;0.01,0)</f>
        <v>0</v>
      </c>
      <c r="N153">
        <v>38.75</v>
      </c>
      <c r="O153">
        <v>9.5</v>
      </c>
      <c r="P153">
        <f t="shared" si="46"/>
        <v>16.75</v>
      </c>
      <c r="Q153">
        <f t="shared" si="47"/>
        <v>2.1935578438198544E-2</v>
      </c>
      <c r="R153" t="e" cm="1">
        <f t="array" ref="R153">_xlfn.IFS(Q153&gt;0.9,0,Q153&lt;0.01,0)</f>
        <v>#N/A</v>
      </c>
      <c r="AA153">
        <v>37.75</v>
      </c>
      <c r="AB153">
        <v>26</v>
      </c>
      <c r="AC153">
        <f t="shared" si="48"/>
        <v>24.75</v>
      </c>
      <c r="AD153">
        <f t="shared" si="49"/>
        <v>9.7824835999542423E-4</v>
      </c>
      <c r="AE153" cm="1">
        <f t="array" ref="AE153">_xlfn.IFS(AD153&gt;0.9,0,AD153&lt;0.01,0)</f>
        <v>0</v>
      </c>
      <c r="AN153">
        <v>38.75</v>
      </c>
      <c r="AO153">
        <v>27.25</v>
      </c>
      <c r="AP153">
        <f t="shared" si="50"/>
        <v>29.25</v>
      </c>
      <c r="AQ153">
        <f t="shared" si="51"/>
        <v>3.676436513502399E-3</v>
      </c>
      <c r="AR153" cm="1">
        <f t="array" ref="AR153">_xlfn.IFS(AQ153&gt;0.9,0,AQ153&lt;0.01,0)</f>
        <v>0</v>
      </c>
      <c r="BA153">
        <v>38.75</v>
      </c>
      <c r="BB153">
        <v>8.5</v>
      </c>
      <c r="BC153">
        <f t="shared" si="52"/>
        <v>21</v>
      </c>
      <c r="BD153">
        <f t="shared" si="53"/>
        <v>1.690281305486771E-2</v>
      </c>
      <c r="BE153" t="e" cm="1">
        <f t="array" ref="BE153">_xlfn.IFS(BD153&gt;0.9,0,BD153&lt;0.01,0)</f>
        <v>#N/A</v>
      </c>
      <c r="BN153">
        <v>38.75</v>
      </c>
      <c r="BO153">
        <v>89.5</v>
      </c>
      <c r="BP153">
        <f t="shared" si="54"/>
        <v>23.75</v>
      </c>
      <c r="BQ153">
        <f t="shared" si="55"/>
        <v>1.3365437308086607E-2</v>
      </c>
      <c r="BR153" t="e" cm="1">
        <f t="array" ref="BR153">_xlfn.IFS(BQ153&gt;0.9,0,BQ153&lt;0.01,0)</f>
        <v>#N/A</v>
      </c>
      <c r="CA153">
        <v>38.75</v>
      </c>
      <c r="CB153">
        <v>9.75</v>
      </c>
      <c r="CC153">
        <f t="shared" si="56"/>
        <v>15.5</v>
      </c>
      <c r="CD153">
        <f t="shared" si="57"/>
        <v>1.5102952951158589E-2</v>
      </c>
      <c r="CE153" t="e" cm="1">
        <f t="array" ref="CE153">_xlfn.IFS(CD153&gt;0.9,0,CD153&lt;0.01,0)</f>
        <v>#N/A</v>
      </c>
      <c r="CN153">
        <v>38.75</v>
      </c>
      <c r="CO153">
        <v>96.25</v>
      </c>
      <c r="CP153">
        <f t="shared" si="58"/>
        <v>24.75</v>
      </c>
      <c r="CQ153">
        <f t="shared" si="59"/>
        <v>1.0234559762899056E-3</v>
      </c>
      <c r="CR153" cm="1">
        <f t="array" ref="CR153">_xlfn.IFS(CQ153&gt;0.9,0,CQ153&lt;0.01,0)</f>
        <v>0</v>
      </c>
      <c r="DA153">
        <v>38.75</v>
      </c>
      <c r="DB153">
        <v>97.75</v>
      </c>
      <c r="DC153">
        <f t="shared" si="60"/>
        <v>24</v>
      </c>
      <c r="DD153">
        <f t="shared" si="61"/>
        <v>2.1449945713099623E-3</v>
      </c>
      <c r="DE153" cm="1">
        <f t="array" ref="DE153">_xlfn.IFS(DD153&gt;0.9,0,DD153&lt;0.01,0)</f>
        <v>0</v>
      </c>
      <c r="DN153">
        <v>38.75</v>
      </c>
      <c r="DO153">
        <v>100</v>
      </c>
      <c r="DP153">
        <f t="shared" si="62"/>
        <v>25.5</v>
      </c>
      <c r="DQ153">
        <f t="shared" si="63"/>
        <v>-2.0715196098585933E-3</v>
      </c>
      <c r="DR153" cm="1">
        <f t="array" ref="DR153">_xlfn.IFS(DQ153&gt;0.9,0,DQ153&lt;0.01,0)</f>
        <v>0</v>
      </c>
    </row>
    <row r="154" spans="1:122" x14ac:dyDescent="0.4">
      <c r="A154">
        <v>39</v>
      </c>
      <c r="B154">
        <v>99.75</v>
      </c>
      <c r="C154">
        <f t="shared" si="44"/>
        <v>26.8</v>
      </c>
      <c r="D154">
        <f t="shared" si="45"/>
        <v>9.0722813777418534E-4</v>
      </c>
      <c r="E154" cm="1">
        <f t="array" ref="E154">_xlfn.IFS(D154&gt;0.9,0,D154&lt;0.01,0)</f>
        <v>0</v>
      </c>
      <c r="N154">
        <v>39</v>
      </c>
      <c r="O154">
        <v>9.5</v>
      </c>
      <c r="P154">
        <f t="shared" si="46"/>
        <v>17</v>
      </c>
      <c r="Q154">
        <f t="shared" si="47"/>
        <v>2.1935578438198544E-2</v>
      </c>
      <c r="R154" t="e" cm="1">
        <f t="array" ref="R154">_xlfn.IFS(Q154&gt;0.9,0,Q154&lt;0.01,0)</f>
        <v>#N/A</v>
      </c>
      <c r="AA154">
        <v>38</v>
      </c>
      <c r="AB154">
        <v>26</v>
      </c>
      <c r="AC154">
        <f t="shared" si="48"/>
        <v>25</v>
      </c>
      <c r="AD154">
        <f t="shared" si="49"/>
        <v>9.7824835999542423E-4</v>
      </c>
      <c r="AE154" cm="1">
        <f t="array" ref="AE154">_xlfn.IFS(AD154&gt;0.9,0,AD154&lt;0.01,0)</f>
        <v>0</v>
      </c>
      <c r="AN154">
        <v>39</v>
      </c>
      <c r="AO154">
        <v>27.25</v>
      </c>
      <c r="AP154">
        <f t="shared" si="50"/>
        <v>29.5</v>
      </c>
      <c r="AQ154">
        <f t="shared" si="51"/>
        <v>3.676436513502399E-3</v>
      </c>
      <c r="AR154" cm="1">
        <f t="array" ref="AR154">_xlfn.IFS(AQ154&gt;0.9,0,AQ154&lt;0.01,0)</f>
        <v>0</v>
      </c>
      <c r="BA154">
        <v>39</v>
      </c>
      <c r="BB154">
        <v>8.75</v>
      </c>
      <c r="BC154">
        <f t="shared" si="52"/>
        <v>21.25</v>
      </c>
      <c r="BD154">
        <f t="shared" si="53"/>
        <v>1.9593050568104911E-2</v>
      </c>
      <c r="BE154" t="e" cm="1">
        <f t="array" ref="BE154">_xlfn.IFS(BD154&gt;0.9,0,BD154&lt;0.01,0)</f>
        <v>#N/A</v>
      </c>
      <c r="BN154">
        <v>39</v>
      </c>
      <c r="BO154">
        <v>89.5</v>
      </c>
      <c r="BP154">
        <f t="shared" si="54"/>
        <v>24</v>
      </c>
      <c r="BQ154">
        <f t="shared" si="55"/>
        <v>1.3365437308086607E-2</v>
      </c>
      <c r="BR154" t="e" cm="1">
        <f t="array" ref="BR154">_xlfn.IFS(BQ154&gt;0.9,0,BQ154&lt;0.01,0)</f>
        <v>#N/A</v>
      </c>
      <c r="CA154">
        <v>39</v>
      </c>
      <c r="CB154">
        <v>9.75</v>
      </c>
      <c r="CC154">
        <f t="shared" si="56"/>
        <v>15.75</v>
      </c>
      <c r="CD154">
        <f t="shared" si="57"/>
        <v>1.5102952951158589E-2</v>
      </c>
      <c r="CE154" t="e" cm="1">
        <f t="array" ref="CE154">_xlfn.IFS(CD154&gt;0.9,0,CD154&lt;0.01,0)</f>
        <v>#N/A</v>
      </c>
      <c r="CN154">
        <v>39</v>
      </c>
      <c r="CO154">
        <v>96.25</v>
      </c>
      <c r="CP154">
        <f t="shared" si="58"/>
        <v>25</v>
      </c>
      <c r="CQ154">
        <f t="shared" si="59"/>
        <v>1.0234559762899056E-3</v>
      </c>
      <c r="CR154" cm="1">
        <f t="array" ref="CR154">_xlfn.IFS(CQ154&gt;0.9,0,CQ154&lt;0.01,0)</f>
        <v>0</v>
      </c>
      <c r="DA154">
        <v>39</v>
      </c>
      <c r="DB154">
        <v>97.75</v>
      </c>
      <c r="DC154">
        <f t="shared" si="60"/>
        <v>24.25</v>
      </c>
      <c r="DD154">
        <f t="shared" si="61"/>
        <v>2.1449945713099623E-3</v>
      </c>
      <c r="DE154" cm="1">
        <f t="array" ref="DE154">_xlfn.IFS(DD154&gt;0.9,0,DD154&lt;0.01,0)</f>
        <v>0</v>
      </c>
      <c r="DN154">
        <v>39</v>
      </c>
      <c r="DO154">
        <v>99.75</v>
      </c>
      <c r="DP154">
        <f t="shared" si="62"/>
        <v>25.75</v>
      </c>
      <c r="DQ154">
        <f t="shared" si="63"/>
        <v>5.8508569133403283E-4</v>
      </c>
      <c r="DR154" cm="1">
        <f t="array" ref="DR154">_xlfn.IFS(DQ154&gt;0.9,0,DQ154&lt;0.01,0)</f>
        <v>0</v>
      </c>
    </row>
    <row r="155" spans="1:122" x14ac:dyDescent="0.4">
      <c r="A155">
        <v>39.25</v>
      </c>
      <c r="B155">
        <v>99.75</v>
      </c>
      <c r="C155">
        <f t="shared" si="44"/>
        <v>27.05</v>
      </c>
      <c r="D155">
        <f t="shared" si="45"/>
        <v>9.0722813777418534E-4</v>
      </c>
      <c r="E155" cm="1">
        <f t="array" ref="E155">_xlfn.IFS(D155&gt;0.9,0,D155&lt;0.01,0)</f>
        <v>0</v>
      </c>
      <c r="N155">
        <v>39.25</v>
      </c>
      <c r="O155">
        <v>9.25</v>
      </c>
      <c r="P155">
        <f t="shared" si="46"/>
        <v>17.25</v>
      </c>
      <c r="Q155">
        <f t="shared" si="47"/>
        <v>1.929128953058009E-2</v>
      </c>
      <c r="R155" t="e" cm="1">
        <f t="array" ref="R155">_xlfn.IFS(Q155&gt;0.9,0,Q155&lt;0.01,0)</f>
        <v>#N/A</v>
      </c>
      <c r="AA155">
        <v>38.25</v>
      </c>
      <c r="AB155">
        <v>26</v>
      </c>
      <c r="AC155">
        <f t="shared" si="48"/>
        <v>25.25</v>
      </c>
      <c r="AD155">
        <f t="shared" si="49"/>
        <v>9.7824835999542423E-4</v>
      </c>
      <c r="AE155" cm="1">
        <f t="array" ref="AE155">_xlfn.IFS(AD155&gt;0.9,0,AD155&lt;0.01,0)</f>
        <v>0</v>
      </c>
      <c r="AN155">
        <v>39.25</v>
      </c>
      <c r="AO155">
        <v>27.25</v>
      </c>
      <c r="AP155">
        <f t="shared" si="50"/>
        <v>29.75</v>
      </c>
      <c r="AQ155">
        <f t="shared" si="51"/>
        <v>3.676436513502399E-3</v>
      </c>
      <c r="AR155" cm="1">
        <f t="array" ref="AR155">_xlfn.IFS(AQ155&gt;0.9,0,AQ155&lt;0.01,0)</f>
        <v>0</v>
      </c>
      <c r="BA155">
        <v>39.25</v>
      </c>
      <c r="BB155">
        <v>8.5</v>
      </c>
      <c r="BC155">
        <f t="shared" si="52"/>
        <v>21.5</v>
      </c>
      <c r="BD155">
        <f t="shared" si="53"/>
        <v>1.690281305486771E-2</v>
      </c>
      <c r="BE155" t="e" cm="1">
        <f t="array" ref="BE155">_xlfn.IFS(BD155&gt;0.9,0,BD155&lt;0.01,0)</f>
        <v>#N/A</v>
      </c>
      <c r="BN155">
        <v>39.25</v>
      </c>
      <c r="BO155">
        <v>89.5</v>
      </c>
      <c r="BP155">
        <f t="shared" si="54"/>
        <v>24.25</v>
      </c>
      <c r="BQ155">
        <f t="shared" si="55"/>
        <v>1.3365437308086607E-2</v>
      </c>
      <c r="BR155" t="e" cm="1">
        <f t="array" ref="BR155">_xlfn.IFS(BQ155&gt;0.9,0,BQ155&lt;0.01,0)</f>
        <v>#N/A</v>
      </c>
      <c r="CA155">
        <v>39.25</v>
      </c>
      <c r="CB155">
        <v>9.75</v>
      </c>
      <c r="CC155">
        <f t="shared" si="56"/>
        <v>16</v>
      </c>
      <c r="CD155">
        <f t="shared" si="57"/>
        <v>1.5102952951158589E-2</v>
      </c>
      <c r="CE155" t="e" cm="1">
        <f t="array" ref="CE155">_xlfn.IFS(CD155&gt;0.9,0,CD155&lt;0.01,0)</f>
        <v>#N/A</v>
      </c>
      <c r="CN155">
        <v>39.25</v>
      </c>
      <c r="CO155">
        <v>96</v>
      </c>
      <c r="CP155">
        <f t="shared" si="58"/>
        <v>25.25</v>
      </c>
      <c r="CQ155">
        <f t="shared" si="59"/>
        <v>3.8059769118281707E-3</v>
      </c>
      <c r="CR155" cm="1">
        <f t="array" ref="CR155">_xlfn.IFS(CQ155&gt;0.9,0,CQ155&lt;0.01,0)</f>
        <v>0</v>
      </c>
      <c r="DA155">
        <v>39.25</v>
      </c>
      <c r="DB155">
        <v>97.75</v>
      </c>
      <c r="DC155">
        <f t="shared" si="60"/>
        <v>24.5</v>
      </c>
      <c r="DD155">
        <f t="shared" si="61"/>
        <v>2.1449945713099623E-3</v>
      </c>
      <c r="DE155" cm="1">
        <f t="array" ref="DE155">_xlfn.IFS(DD155&gt;0.9,0,DD155&lt;0.01,0)</f>
        <v>0</v>
      </c>
      <c r="DN155">
        <v>39.25</v>
      </c>
      <c r="DO155">
        <v>99.75</v>
      </c>
      <c r="DP155">
        <f t="shared" si="62"/>
        <v>26</v>
      </c>
      <c r="DQ155">
        <f t="shared" si="63"/>
        <v>5.8508569133403283E-4</v>
      </c>
      <c r="DR155" cm="1">
        <f t="array" ref="DR155">_xlfn.IFS(DQ155&gt;0.9,0,DQ155&lt;0.01,0)</f>
        <v>0</v>
      </c>
    </row>
    <row r="156" spans="1:122" x14ac:dyDescent="0.4">
      <c r="A156">
        <v>39.5</v>
      </c>
      <c r="B156">
        <v>99.75</v>
      </c>
      <c r="C156">
        <f t="shared" si="44"/>
        <v>27.3</v>
      </c>
      <c r="D156">
        <f t="shared" si="45"/>
        <v>9.0722813777418534E-4</v>
      </c>
      <c r="E156" cm="1">
        <f t="array" ref="E156">_xlfn.IFS(D156&gt;0.9,0,D156&lt;0.01,0)</f>
        <v>0</v>
      </c>
      <c r="N156">
        <v>39.5</v>
      </c>
      <c r="O156">
        <v>9.25</v>
      </c>
      <c r="P156">
        <f t="shared" si="46"/>
        <v>17.5</v>
      </c>
      <c r="Q156">
        <f t="shared" si="47"/>
        <v>1.929128953058009E-2</v>
      </c>
      <c r="R156" t="e" cm="1">
        <f t="array" ref="R156">_xlfn.IFS(Q156&gt;0.9,0,Q156&lt;0.01,0)</f>
        <v>#N/A</v>
      </c>
      <c r="AA156">
        <v>38.5</v>
      </c>
      <c r="AB156">
        <v>26</v>
      </c>
      <c r="AC156">
        <f t="shared" si="48"/>
        <v>25.5</v>
      </c>
      <c r="AD156">
        <f t="shared" si="49"/>
        <v>9.7824835999542423E-4</v>
      </c>
      <c r="AE156" cm="1">
        <f t="array" ref="AE156">_xlfn.IFS(AD156&gt;0.9,0,AD156&lt;0.01,0)</f>
        <v>0</v>
      </c>
      <c r="AN156">
        <v>39.5</v>
      </c>
      <c r="AO156">
        <v>27</v>
      </c>
      <c r="AP156">
        <f t="shared" si="50"/>
        <v>30</v>
      </c>
      <c r="AQ156">
        <f t="shared" si="51"/>
        <v>3.243914570737327E-4</v>
      </c>
      <c r="AR156" cm="1">
        <f t="array" ref="AR156">_xlfn.IFS(AQ156&gt;0.9,0,AQ156&lt;0.01,0)</f>
        <v>0</v>
      </c>
      <c r="BA156">
        <v>39.5</v>
      </c>
      <c r="BB156">
        <v>8.5</v>
      </c>
      <c r="BC156">
        <f t="shared" si="52"/>
        <v>21.75</v>
      </c>
      <c r="BD156">
        <f t="shared" si="53"/>
        <v>1.690281305486771E-2</v>
      </c>
      <c r="BE156" t="e" cm="1">
        <f t="array" ref="BE156">_xlfn.IFS(BD156&gt;0.9,0,BD156&lt;0.01,0)</f>
        <v>#N/A</v>
      </c>
      <c r="BN156">
        <v>39.5</v>
      </c>
      <c r="BO156">
        <v>89.75</v>
      </c>
      <c r="BP156">
        <f t="shared" si="54"/>
        <v>24.5</v>
      </c>
      <c r="BQ156">
        <f t="shared" si="55"/>
        <v>1.0390092606993123E-2</v>
      </c>
      <c r="BR156" t="e" cm="1">
        <f t="array" ref="BR156">_xlfn.IFS(BQ156&gt;0.9,0,BQ156&lt;0.01,0)</f>
        <v>#N/A</v>
      </c>
      <c r="CA156">
        <v>39.5</v>
      </c>
      <c r="CB156">
        <v>9.75</v>
      </c>
      <c r="CC156">
        <f t="shared" si="56"/>
        <v>16.25</v>
      </c>
      <c r="CD156">
        <f t="shared" si="57"/>
        <v>1.5102952951158589E-2</v>
      </c>
      <c r="CE156" t="e" cm="1">
        <f t="array" ref="CE156">_xlfn.IFS(CD156&gt;0.9,0,CD156&lt;0.01,0)</f>
        <v>#N/A</v>
      </c>
      <c r="CN156">
        <v>39.5</v>
      </c>
      <c r="CO156">
        <v>96</v>
      </c>
      <c r="CP156">
        <f t="shared" si="58"/>
        <v>25.5</v>
      </c>
      <c r="CQ156">
        <f t="shared" si="59"/>
        <v>3.8059769118281707E-3</v>
      </c>
      <c r="CR156" cm="1">
        <f t="array" ref="CR156">_xlfn.IFS(CQ156&gt;0.9,0,CQ156&lt;0.01,0)</f>
        <v>0</v>
      </c>
      <c r="DA156">
        <v>39.5</v>
      </c>
      <c r="DB156">
        <v>97.75</v>
      </c>
      <c r="DC156">
        <f t="shared" si="60"/>
        <v>24.75</v>
      </c>
      <c r="DD156">
        <f t="shared" si="61"/>
        <v>2.1449945713099623E-3</v>
      </c>
      <c r="DE156" cm="1">
        <f t="array" ref="DE156">_xlfn.IFS(DD156&gt;0.9,0,DD156&lt;0.01,0)</f>
        <v>0</v>
      </c>
      <c r="DN156">
        <v>39.5</v>
      </c>
      <c r="DO156">
        <v>99.75</v>
      </c>
      <c r="DP156">
        <f t="shared" si="62"/>
        <v>26.25</v>
      </c>
      <c r="DQ156">
        <f t="shared" si="63"/>
        <v>5.8508569133403283E-4</v>
      </c>
      <c r="DR156" cm="1">
        <f t="array" ref="DR156">_xlfn.IFS(DQ156&gt;0.9,0,DQ156&lt;0.01,0)</f>
        <v>0</v>
      </c>
    </row>
    <row r="157" spans="1:122" x14ac:dyDescent="0.4">
      <c r="A157">
        <v>39.75</v>
      </c>
      <c r="B157">
        <v>99.75</v>
      </c>
      <c r="C157">
        <f t="shared" si="44"/>
        <v>27.55</v>
      </c>
      <c r="D157">
        <f t="shared" si="45"/>
        <v>9.0722813777418534E-4</v>
      </c>
      <c r="E157" cm="1">
        <f t="array" ref="E157">_xlfn.IFS(D157&gt;0.9,0,D157&lt;0.01,0)</f>
        <v>0</v>
      </c>
      <c r="N157">
        <v>39.75</v>
      </c>
      <c r="O157">
        <v>9.25</v>
      </c>
      <c r="P157">
        <f t="shared" si="46"/>
        <v>17.75</v>
      </c>
      <c r="Q157">
        <f t="shared" si="47"/>
        <v>1.929128953058009E-2</v>
      </c>
      <c r="R157" t="e" cm="1">
        <f t="array" ref="R157">_xlfn.IFS(Q157&gt;0.9,0,Q157&lt;0.01,0)</f>
        <v>#N/A</v>
      </c>
      <c r="AA157">
        <v>38.75</v>
      </c>
      <c r="AB157">
        <v>26</v>
      </c>
      <c r="AC157">
        <f t="shared" si="48"/>
        <v>25.75</v>
      </c>
      <c r="AD157">
        <f t="shared" si="49"/>
        <v>9.7824835999542423E-4</v>
      </c>
      <c r="AE157" cm="1">
        <f t="array" ref="AE157">_xlfn.IFS(AD157&gt;0.9,0,AD157&lt;0.01,0)</f>
        <v>0</v>
      </c>
      <c r="AN157">
        <v>39.75</v>
      </c>
      <c r="AO157">
        <v>27</v>
      </c>
      <c r="AP157">
        <f t="shared" si="50"/>
        <v>30.25</v>
      </c>
      <c r="AQ157">
        <f t="shared" si="51"/>
        <v>3.243914570737327E-4</v>
      </c>
      <c r="AR157" cm="1">
        <f t="array" ref="AR157">_xlfn.IFS(AQ157&gt;0.9,0,AQ157&lt;0.01,0)</f>
        <v>0</v>
      </c>
      <c r="BA157">
        <v>39.75</v>
      </c>
      <c r="BB157">
        <v>8.5</v>
      </c>
      <c r="BC157">
        <f t="shared" si="52"/>
        <v>22</v>
      </c>
      <c r="BD157">
        <f t="shared" si="53"/>
        <v>1.690281305486771E-2</v>
      </c>
      <c r="BE157" t="e" cm="1">
        <f t="array" ref="BE157">_xlfn.IFS(BD157&gt;0.9,0,BD157&lt;0.01,0)</f>
        <v>#N/A</v>
      </c>
      <c r="BN157">
        <v>39.75</v>
      </c>
      <c r="BO157">
        <v>89.75</v>
      </c>
      <c r="BP157">
        <f t="shared" si="54"/>
        <v>24.75</v>
      </c>
      <c r="BQ157">
        <f t="shared" si="55"/>
        <v>1.0390092606993123E-2</v>
      </c>
      <c r="BR157" t="e" cm="1">
        <f t="array" ref="BR157">_xlfn.IFS(BQ157&gt;0.9,0,BQ157&lt;0.01,0)</f>
        <v>#N/A</v>
      </c>
      <c r="CA157">
        <v>39.75</v>
      </c>
      <c r="CB157">
        <v>9.75</v>
      </c>
      <c r="CC157">
        <f t="shared" si="56"/>
        <v>16.5</v>
      </c>
      <c r="CD157">
        <f t="shared" si="57"/>
        <v>1.5102952951158589E-2</v>
      </c>
      <c r="CE157" t="e" cm="1">
        <f t="array" ref="CE157">_xlfn.IFS(CD157&gt;0.9,0,CD157&lt;0.01,0)</f>
        <v>#N/A</v>
      </c>
      <c r="CN157">
        <v>39.75</v>
      </c>
      <c r="CO157">
        <v>96</v>
      </c>
      <c r="CP157">
        <f t="shared" si="58"/>
        <v>25.75</v>
      </c>
      <c r="CQ157">
        <f t="shared" si="59"/>
        <v>3.8059769118281707E-3</v>
      </c>
      <c r="CR157" cm="1">
        <f t="array" ref="CR157">_xlfn.IFS(CQ157&gt;0.9,0,CQ157&lt;0.01,0)</f>
        <v>0</v>
      </c>
      <c r="DA157">
        <v>39.75</v>
      </c>
      <c r="DB157">
        <v>97.75</v>
      </c>
      <c r="DC157">
        <f t="shared" si="60"/>
        <v>25</v>
      </c>
      <c r="DD157">
        <f t="shared" si="61"/>
        <v>2.1449945713099623E-3</v>
      </c>
      <c r="DE157" cm="1">
        <f t="array" ref="DE157">_xlfn.IFS(DD157&gt;0.9,0,DD157&lt;0.01,0)</f>
        <v>0</v>
      </c>
      <c r="DN157">
        <v>39.75</v>
      </c>
      <c r="DO157">
        <v>99.75</v>
      </c>
      <c r="DP157">
        <f t="shared" si="62"/>
        <v>26.5</v>
      </c>
      <c r="DQ157">
        <f t="shared" si="63"/>
        <v>5.8508569133403283E-4</v>
      </c>
      <c r="DR157" cm="1">
        <f t="array" ref="DR157">_xlfn.IFS(DQ157&gt;0.9,0,DQ157&lt;0.01,0)</f>
        <v>0</v>
      </c>
    </row>
    <row r="158" spans="1:122" x14ac:dyDescent="0.4">
      <c r="A158">
        <v>40</v>
      </c>
      <c r="B158">
        <v>99.75</v>
      </c>
      <c r="C158">
        <f t="shared" si="44"/>
        <v>27.8</v>
      </c>
      <c r="D158">
        <f t="shared" si="45"/>
        <v>9.0722813777418534E-4</v>
      </c>
      <c r="E158" cm="1">
        <f t="array" ref="E158">_xlfn.IFS(D158&gt;0.9,0,D158&lt;0.01,0)</f>
        <v>0</v>
      </c>
      <c r="N158">
        <v>40</v>
      </c>
      <c r="O158">
        <v>9</v>
      </c>
      <c r="P158">
        <f t="shared" si="46"/>
        <v>18</v>
      </c>
      <c r="Q158">
        <f t="shared" si="47"/>
        <v>1.6647000622961636E-2</v>
      </c>
      <c r="R158" t="e" cm="1">
        <f t="array" ref="R158">_xlfn.IFS(Q158&gt;0.9,0,Q158&lt;0.01,0)</f>
        <v>#N/A</v>
      </c>
      <c r="AA158">
        <v>39</v>
      </c>
      <c r="AB158">
        <v>26</v>
      </c>
      <c r="AC158">
        <f t="shared" si="48"/>
        <v>26</v>
      </c>
      <c r="AD158">
        <f t="shared" si="49"/>
        <v>9.7824835999542423E-4</v>
      </c>
      <c r="AE158" cm="1">
        <f t="array" ref="AE158">_xlfn.IFS(AD158&gt;0.9,0,AD158&lt;0.01,0)</f>
        <v>0</v>
      </c>
      <c r="AN158">
        <v>40</v>
      </c>
      <c r="AO158">
        <v>27</v>
      </c>
      <c r="AP158">
        <f t="shared" si="50"/>
        <v>30.5</v>
      </c>
      <c r="AQ158">
        <f t="shared" si="51"/>
        <v>3.243914570737327E-4</v>
      </c>
      <c r="AR158" cm="1">
        <f t="array" ref="AR158">_xlfn.IFS(AQ158&gt;0.9,0,AQ158&lt;0.01,0)</f>
        <v>0</v>
      </c>
      <c r="BA158">
        <v>40</v>
      </c>
      <c r="BB158">
        <v>8.5</v>
      </c>
      <c r="BC158">
        <f t="shared" si="52"/>
        <v>22.25</v>
      </c>
      <c r="BD158">
        <f t="shared" si="53"/>
        <v>1.690281305486771E-2</v>
      </c>
      <c r="BE158" t="e" cm="1">
        <f t="array" ref="BE158">_xlfn.IFS(BD158&gt;0.9,0,BD158&lt;0.01,0)</f>
        <v>#N/A</v>
      </c>
      <c r="BN158">
        <v>40</v>
      </c>
      <c r="BO158">
        <v>89.75</v>
      </c>
      <c r="BP158">
        <f t="shared" si="54"/>
        <v>25</v>
      </c>
      <c r="BQ158">
        <f t="shared" si="55"/>
        <v>1.0390092606993123E-2</v>
      </c>
      <c r="BR158" t="e" cm="1">
        <f t="array" ref="BR158">_xlfn.IFS(BQ158&gt;0.9,0,BQ158&lt;0.01,0)</f>
        <v>#N/A</v>
      </c>
      <c r="CA158">
        <v>40</v>
      </c>
      <c r="CB158">
        <v>9.75</v>
      </c>
      <c r="CC158">
        <f t="shared" si="56"/>
        <v>16.75</v>
      </c>
      <c r="CD158">
        <f t="shared" si="57"/>
        <v>1.5102952951158589E-2</v>
      </c>
      <c r="CE158" t="e" cm="1">
        <f t="array" ref="CE158">_xlfn.IFS(CD158&gt;0.9,0,CD158&lt;0.01,0)</f>
        <v>#N/A</v>
      </c>
      <c r="CN158">
        <v>40</v>
      </c>
      <c r="CO158">
        <v>95.75</v>
      </c>
      <c r="CP158">
        <f t="shared" si="58"/>
        <v>26</v>
      </c>
      <c r="CQ158">
        <f t="shared" si="59"/>
        <v>6.5884978473664353E-3</v>
      </c>
      <c r="CR158" cm="1">
        <f t="array" ref="CR158">_xlfn.IFS(CQ158&gt;0.9,0,CQ158&lt;0.01,0)</f>
        <v>0</v>
      </c>
      <c r="DA158">
        <v>40</v>
      </c>
      <c r="DB158">
        <v>97.75</v>
      </c>
      <c r="DC158">
        <f t="shared" si="60"/>
        <v>25.25</v>
      </c>
      <c r="DD158">
        <f t="shared" si="61"/>
        <v>2.1449945713099623E-3</v>
      </c>
      <c r="DE158" cm="1">
        <f t="array" ref="DE158">_xlfn.IFS(DD158&gt;0.9,0,DD158&lt;0.01,0)</f>
        <v>0</v>
      </c>
      <c r="DN158">
        <v>40</v>
      </c>
      <c r="DO158">
        <v>99.5</v>
      </c>
      <c r="DP158">
        <f t="shared" si="62"/>
        <v>26.75</v>
      </c>
      <c r="DQ158">
        <f t="shared" si="63"/>
        <v>3.2416909925266591E-3</v>
      </c>
      <c r="DR158" cm="1">
        <f t="array" ref="DR158">_xlfn.IFS(DQ158&gt;0.9,0,DQ158&lt;0.01,0)</f>
        <v>0</v>
      </c>
    </row>
    <row r="159" spans="1:122" x14ac:dyDescent="0.4">
      <c r="A159">
        <v>40.25</v>
      </c>
      <c r="B159">
        <v>99.75</v>
      </c>
      <c r="C159">
        <f t="shared" si="44"/>
        <v>28.05</v>
      </c>
      <c r="D159">
        <f t="shared" si="45"/>
        <v>9.0722813777418534E-4</v>
      </c>
      <c r="E159" cm="1">
        <f t="array" ref="E159">_xlfn.IFS(D159&gt;0.9,0,D159&lt;0.01,0)</f>
        <v>0</v>
      </c>
      <c r="N159">
        <v>40.25</v>
      </c>
      <c r="O159">
        <v>9</v>
      </c>
      <c r="P159">
        <f t="shared" si="46"/>
        <v>18.25</v>
      </c>
      <c r="Q159">
        <f t="shared" si="47"/>
        <v>1.6647000622961636E-2</v>
      </c>
      <c r="R159" t="e" cm="1">
        <f t="array" ref="R159">_xlfn.IFS(Q159&gt;0.9,0,Q159&lt;0.01,0)</f>
        <v>#N/A</v>
      </c>
      <c r="AA159">
        <v>39.25</v>
      </c>
      <c r="AB159">
        <v>26</v>
      </c>
      <c r="AC159">
        <f t="shared" si="48"/>
        <v>26.25</v>
      </c>
      <c r="AD159">
        <f t="shared" si="49"/>
        <v>9.7824835999542423E-4</v>
      </c>
      <c r="AE159" cm="1">
        <f t="array" ref="AE159">_xlfn.IFS(AD159&gt;0.9,0,AD159&lt;0.01,0)</f>
        <v>0</v>
      </c>
      <c r="AN159">
        <v>40.25</v>
      </c>
      <c r="AO159">
        <v>27</v>
      </c>
      <c r="AP159">
        <f t="shared" si="50"/>
        <v>30.75</v>
      </c>
      <c r="AQ159">
        <f t="shared" si="51"/>
        <v>3.243914570737327E-4</v>
      </c>
      <c r="AR159" cm="1">
        <f t="array" ref="AR159">_xlfn.IFS(AQ159&gt;0.9,0,AQ159&lt;0.01,0)</f>
        <v>0</v>
      </c>
      <c r="BA159">
        <v>40.25</v>
      </c>
      <c r="BB159">
        <v>8.5</v>
      </c>
      <c r="BC159">
        <f t="shared" si="52"/>
        <v>22.5</v>
      </c>
      <c r="BD159">
        <f t="shared" si="53"/>
        <v>1.690281305486771E-2</v>
      </c>
      <c r="BE159" t="e" cm="1">
        <f t="array" ref="BE159">_xlfn.IFS(BD159&gt;0.9,0,BD159&lt;0.01,0)</f>
        <v>#N/A</v>
      </c>
      <c r="BN159">
        <v>40.25</v>
      </c>
      <c r="BO159">
        <v>89.75</v>
      </c>
      <c r="BP159">
        <f t="shared" si="54"/>
        <v>25.25</v>
      </c>
      <c r="BQ159">
        <f t="shared" si="55"/>
        <v>1.0390092606993123E-2</v>
      </c>
      <c r="BR159" t="e" cm="1">
        <f t="array" ref="BR159">_xlfn.IFS(BQ159&gt;0.9,0,BQ159&lt;0.01,0)</f>
        <v>#N/A</v>
      </c>
      <c r="CA159">
        <v>40.25</v>
      </c>
      <c r="CB159">
        <v>9.75</v>
      </c>
      <c r="CC159">
        <f t="shared" si="56"/>
        <v>17</v>
      </c>
      <c r="CD159">
        <f t="shared" si="57"/>
        <v>1.5102952951158589E-2</v>
      </c>
      <c r="CE159" t="e" cm="1">
        <f t="array" ref="CE159">_xlfn.IFS(CD159&gt;0.9,0,CD159&lt;0.01,0)</f>
        <v>#N/A</v>
      </c>
      <c r="CN159">
        <v>40.25</v>
      </c>
      <c r="CO159">
        <v>95.75</v>
      </c>
      <c r="CP159">
        <f t="shared" si="58"/>
        <v>26.25</v>
      </c>
      <c r="CQ159">
        <f t="shared" si="59"/>
        <v>6.5884978473664353E-3</v>
      </c>
      <c r="CR159" cm="1">
        <f t="array" ref="CR159">_xlfn.IFS(CQ159&gt;0.9,0,CQ159&lt;0.01,0)</f>
        <v>0</v>
      </c>
      <c r="DA159">
        <v>40.25</v>
      </c>
      <c r="DB159">
        <v>97.75</v>
      </c>
      <c r="DC159">
        <f t="shared" si="60"/>
        <v>25.5</v>
      </c>
      <c r="DD159">
        <f t="shared" si="61"/>
        <v>2.1449945713099623E-3</v>
      </c>
      <c r="DE159" cm="1">
        <f t="array" ref="DE159">_xlfn.IFS(DD159&gt;0.9,0,DD159&lt;0.01,0)</f>
        <v>0</v>
      </c>
      <c r="DN159">
        <v>40.25</v>
      </c>
      <c r="DO159">
        <v>99.5</v>
      </c>
      <c r="DP159">
        <f t="shared" si="62"/>
        <v>27</v>
      </c>
      <c r="DQ159">
        <f t="shared" si="63"/>
        <v>3.2416909925266591E-3</v>
      </c>
      <c r="DR159" cm="1">
        <f t="array" ref="DR159">_xlfn.IFS(DQ159&gt;0.9,0,DQ159&lt;0.01,0)</f>
        <v>0</v>
      </c>
    </row>
    <row r="160" spans="1:122" x14ac:dyDescent="0.4">
      <c r="A160">
        <v>40.5</v>
      </c>
      <c r="B160">
        <v>99.75</v>
      </c>
      <c r="C160">
        <f t="shared" si="44"/>
        <v>28.3</v>
      </c>
      <c r="D160">
        <f t="shared" si="45"/>
        <v>9.0722813777418534E-4</v>
      </c>
      <c r="E160" cm="1">
        <f t="array" ref="E160">_xlfn.IFS(D160&gt;0.9,0,D160&lt;0.01,0)</f>
        <v>0</v>
      </c>
      <c r="N160">
        <v>40.5</v>
      </c>
      <c r="O160">
        <v>9</v>
      </c>
      <c r="P160">
        <f t="shared" si="46"/>
        <v>18.5</v>
      </c>
      <c r="Q160">
        <f t="shared" si="47"/>
        <v>1.6647000622961636E-2</v>
      </c>
      <c r="R160" t="e" cm="1">
        <f t="array" ref="R160">_xlfn.IFS(Q160&gt;0.9,0,Q160&lt;0.01,0)</f>
        <v>#N/A</v>
      </c>
      <c r="AA160">
        <v>39.5</v>
      </c>
      <c r="AB160">
        <v>26</v>
      </c>
      <c r="AC160">
        <f t="shared" si="48"/>
        <v>26.5</v>
      </c>
      <c r="AD160">
        <f t="shared" si="49"/>
        <v>9.7824835999542423E-4</v>
      </c>
      <c r="AE160" cm="1">
        <f t="array" ref="AE160">_xlfn.IFS(AD160&gt;0.9,0,AD160&lt;0.01,0)</f>
        <v>0</v>
      </c>
      <c r="AN160">
        <v>40.5</v>
      </c>
      <c r="AO160">
        <v>27</v>
      </c>
      <c r="AP160">
        <f t="shared" si="50"/>
        <v>31</v>
      </c>
      <c r="AQ160">
        <f t="shared" si="51"/>
        <v>3.243914570737327E-4</v>
      </c>
      <c r="AR160" cm="1">
        <f t="array" ref="AR160">_xlfn.IFS(AQ160&gt;0.9,0,AQ160&lt;0.01,0)</f>
        <v>0</v>
      </c>
      <c r="BA160">
        <v>40.5</v>
      </c>
      <c r="BB160">
        <v>8.25</v>
      </c>
      <c r="BC160">
        <f t="shared" si="52"/>
        <v>22.75</v>
      </c>
      <c r="BD160">
        <f t="shared" si="53"/>
        <v>1.4212575541630508E-2</v>
      </c>
      <c r="BE160" t="e" cm="1">
        <f t="array" ref="BE160">_xlfn.IFS(BD160&gt;0.9,0,BD160&lt;0.01,0)</f>
        <v>#N/A</v>
      </c>
      <c r="BN160">
        <v>40.5</v>
      </c>
      <c r="BO160">
        <v>89.75</v>
      </c>
      <c r="BP160">
        <f t="shared" si="54"/>
        <v>25.5</v>
      </c>
      <c r="BQ160">
        <f t="shared" si="55"/>
        <v>1.0390092606993123E-2</v>
      </c>
      <c r="BR160" t="e" cm="1">
        <f t="array" ref="BR160">_xlfn.IFS(BQ160&gt;0.9,0,BQ160&lt;0.01,0)</f>
        <v>#N/A</v>
      </c>
      <c r="CA160">
        <v>40.5</v>
      </c>
      <c r="CB160">
        <v>9.5</v>
      </c>
      <c r="CC160">
        <f t="shared" si="56"/>
        <v>17.25</v>
      </c>
      <c r="CD160">
        <f t="shared" si="57"/>
        <v>1.2124905890366753E-2</v>
      </c>
      <c r="CE160" t="e" cm="1">
        <f t="array" ref="CE160">_xlfn.IFS(CD160&gt;0.9,0,CD160&lt;0.01,0)</f>
        <v>#N/A</v>
      </c>
      <c r="CN160">
        <v>40.5</v>
      </c>
      <c r="CO160">
        <v>95.75</v>
      </c>
      <c r="CP160">
        <f t="shared" si="58"/>
        <v>26.5</v>
      </c>
      <c r="CQ160">
        <f t="shared" si="59"/>
        <v>6.5884978473664353E-3</v>
      </c>
      <c r="CR160" cm="1">
        <f t="array" ref="CR160">_xlfn.IFS(CQ160&gt;0.9,0,CQ160&lt;0.01,0)</f>
        <v>0</v>
      </c>
      <c r="DA160">
        <v>40.5</v>
      </c>
      <c r="DB160">
        <v>97.75</v>
      </c>
      <c r="DC160">
        <f t="shared" si="60"/>
        <v>25.75</v>
      </c>
      <c r="DD160">
        <f t="shared" si="61"/>
        <v>2.1449945713099623E-3</v>
      </c>
      <c r="DE160" cm="1">
        <f t="array" ref="DE160">_xlfn.IFS(DD160&gt;0.9,0,DD160&lt;0.01,0)</f>
        <v>0</v>
      </c>
      <c r="DN160">
        <v>40.5</v>
      </c>
      <c r="DO160">
        <v>99.5</v>
      </c>
      <c r="DP160">
        <f t="shared" si="62"/>
        <v>27.25</v>
      </c>
      <c r="DQ160">
        <f t="shared" si="63"/>
        <v>3.2416909925266591E-3</v>
      </c>
      <c r="DR160" cm="1">
        <f t="array" ref="DR160">_xlfn.IFS(DQ160&gt;0.9,0,DQ160&lt;0.01,0)</f>
        <v>0</v>
      </c>
    </row>
    <row r="161" spans="1:122" x14ac:dyDescent="0.4">
      <c r="A161">
        <v>40.75</v>
      </c>
      <c r="B161">
        <v>100</v>
      </c>
      <c r="C161">
        <f t="shared" si="44"/>
        <v>28.55</v>
      </c>
      <c r="D161">
        <f t="shared" si="45"/>
        <v>-1.7189585768350943E-3</v>
      </c>
      <c r="E161" cm="1">
        <f t="array" ref="E161">_xlfn.IFS(D161&gt;0.9,0,D161&lt;0.01,0)</f>
        <v>0</v>
      </c>
      <c r="N161">
        <v>40.75</v>
      </c>
      <c r="O161">
        <v>8.75</v>
      </c>
      <c r="P161">
        <f t="shared" si="46"/>
        <v>18.75</v>
      </c>
      <c r="Q161">
        <f t="shared" si="47"/>
        <v>1.4002711715343182E-2</v>
      </c>
      <c r="R161" t="e" cm="1">
        <f t="array" ref="R161">_xlfn.IFS(Q161&gt;0.9,0,Q161&lt;0.01,0)</f>
        <v>#N/A</v>
      </c>
      <c r="AA161">
        <v>39.75</v>
      </c>
      <c r="AB161">
        <v>26</v>
      </c>
      <c r="AC161">
        <f t="shared" si="48"/>
        <v>26.75</v>
      </c>
      <c r="AD161">
        <f t="shared" si="49"/>
        <v>9.7824835999542423E-4</v>
      </c>
      <c r="AE161" cm="1">
        <f t="array" ref="AE161">_xlfn.IFS(AD161&gt;0.9,0,AD161&lt;0.01,0)</f>
        <v>0</v>
      </c>
      <c r="AN161">
        <v>40.75</v>
      </c>
      <c r="AO161">
        <v>27</v>
      </c>
      <c r="AP161">
        <f t="shared" si="50"/>
        <v>31.25</v>
      </c>
      <c r="AQ161">
        <f t="shared" si="51"/>
        <v>3.243914570737327E-4</v>
      </c>
      <c r="AR161" cm="1">
        <f t="array" ref="AR161">_xlfn.IFS(AQ161&gt;0.9,0,AQ161&lt;0.01,0)</f>
        <v>0</v>
      </c>
      <c r="BA161">
        <v>40.75</v>
      </c>
      <c r="BB161">
        <v>8.25</v>
      </c>
      <c r="BC161">
        <f t="shared" si="52"/>
        <v>23</v>
      </c>
      <c r="BD161">
        <f t="shared" si="53"/>
        <v>1.4212575541630508E-2</v>
      </c>
      <c r="BE161" t="e" cm="1">
        <f t="array" ref="BE161">_xlfn.IFS(BD161&gt;0.9,0,BD161&lt;0.01,0)</f>
        <v>#N/A</v>
      </c>
      <c r="BN161">
        <v>40.75</v>
      </c>
      <c r="BO161">
        <v>89.75</v>
      </c>
      <c r="BP161">
        <f t="shared" si="54"/>
        <v>25.75</v>
      </c>
      <c r="BQ161">
        <f t="shared" si="55"/>
        <v>1.0390092606993123E-2</v>
      </c>
      <c r="BR161" t="e" cm="1">
        <f t="array" ref="BR161">_xlfn.IFS(BQ161&gt;0.9,0,BQ161&lt;0.01,0)</f>
        <v>#N/A</v>
      </c>
      <c r="CA161">
        <v>40.75</v>
      </c>
      <c r="CB161">
        <v>9.5</v>
      </c>
      <c r="CC161">
        <f t="shared" si="56"/>
        <v>17.5</v>
      </c>
      <c r="CD161">
        <f t="shared" si="57"/>
        <v>1.2124905890366753E-2</v>
      </c>
      <c r="CE161" t="e" cm="1">
        <f t="array" ref="CE161">_xlfn.IFS(CD161&gt;0.9,0,CD161&lt;0.01,0)</f>
        <v>#N/A</v>
      </c>
      <c r="CN161">
        <v>40.75</v>
      </c>
      <c r="CO161">
        <v>95.75</v>
      </c>
      <c r="CP161">
        <f t="shared" si="58"/>
        <v>26.75</v>
      </c>
      <c r="CQ161">
        <f t="shared" si="59"/>
        <v>6.5884978473664353E-3</v>
      </c>
      <c r="CR161" cm="1">
        <f t="array" ref="CR161">_xlfn.IFS(CQ161&gt;0.9,0,CQ161&lt;0.01,0)</f>
        <v>0</v>
      </c>
      <c r="DA161">
        <v>40.75</v>
      </c>
      <c r="DB161">
        <v>98</v>
      </c>
      <c r="DC161">
        <f t="shared" si="60"/>
        <v>26</v>
      </c>
      <c r="DD161">
        <f t="shared" si="61"/>
        <v>-6.6733164440763984E-4</v>
      </c>
      <c r="DE161" cm="1">
        <f t="array" ref="DE161">_xlfn.IFS(DD161&gt;0.9,0,DD161&lt;0.01,0)</f>
        <v>0</v>
      </c>
      <c r="DN161">
        <v>40.75</v>
      </c>
      <c r="DO161">
        <v>99.5</v>
      </c>
      <c r="DP161">
        <f t="shared" si="62"/>
        <v>27.5</v>
      </c>
      <c r="DQ161">
        <f t="shared" si="63"/>
        <v>3.2416909925266591E-3</v>
      </c>
      <c r="DR161" cm="1">
        <f t="array" ref="DR161">_xlfn.IFS(DQ161&gt;0.9,0,DQ161&lt;0.01,0)</f>
        <v>0</v>
      </c>
    </row>
    <row r="162" spans="1:122" x14ac:dyDescent="0.4">
      <c r="A162">
        <v>41</v>
      </c>
      <c r="B162">
        <v>100</v>
      </c>
      <c r="C162">
        <f t="shared" si="44"/>
        <v>28.8</v>
      </c>
      <c r="D162">
        <f t="shared" si="45"/>
        <v>-1.7189585768350943E-3</v>
      </c>
      <c r="E162" cm="1">
        <f t="array" ref="E162">_xlfn.IFS(D162&gt;0.9,0,D162&lt;0.01,0)</f>
        <v>0</v>
      </c>
      <c r="N162">
        <v>41</v>
      </c>
      <c r="O162">
        <v>8.75</v>
      </c>
      <c r="P162">
        <f t="shared" si="46"/>
        <v>19</v>
      </c>
      <c r="Q162">
        <f t="shared" si="47"/>
        <v>1.4002711715343182E-2</v>
      </c>
      <c r="R162" t="e" cm="1">
        <f t="array" ref="R162">_xlfn.IFS(Q162&gt;0.9,0,Q162&lt;0.01,0)</f>
        <v>#N/A</v>
      </c>
      <c r="AA162">
        <v>40</v>
      </c>
      <c r="AB162">
        <v>26</v>
      </c>
      <c r="AC162">
        <f t="shared" si="48"/>
        <v>27</v>
      </c>
      <c r="AD162">
        <f t="shared" si="49"/>
        <v>9.7824835999542423E-4</v>
      </c>
      <c r="AE162" cm="1">
        <f t="array" ref="AE162">_xlfn.IFS(AD162&gt;0.9,0,AD162&lt;0.01,0)</f>
        <v>0</v>
      </c>
      <c r="AN162">
        <v>41</v>
      </c>
      <c r="AO162">
        <v>27</v>
      </c>
      <c r="AP162">
        <f t="shared" si="50"/>
        <v>31.5</v>
      </c>
      <c r="AQ162">
        <f t="shared" si="51"/>
        <v>3.243914570737327E-4</v>
      </c>
      <c r="AR162" cm="1">
        <f t="array" ref="AR162">_xlfn.IFS(AQ162&gt;0.9,0,AQ162&lt;0.01,0)</f>
        <v>0</v>
      </c>
      <c r="BA162">
        <v>41</v>
      </c>
      <c r="BB162">
        <v>8.25</v>
      </c>
      <c r="BC162">
        <f t="shared" si="52"/>
        <v>23.25</v>
      </c>
      <c r="BD162">
        <f t="shared" si="53"/>
        <v>1.4212575541630508E-2</v>
      </c>
      <c r="BE162" t="e" cm="1">
        <f t="array" ref="BE162">_xlfn.IFS(BD162&gt;0.9,0,BD162&lt;0.01,0)</f>
        <v>#N/A</v>
      </c>
      <c r="BN162">
        <v>41</v>
      </c>
      <c r="BO162">
        <v>90</v>
      </c>
      <c r="BP162">
        <f t="shared" si="54"/>
        <v>26</v>
      </c>
      <c r="BQ162">
        <f t="shared" si="55"/>
        <v>7.4147479058996393E-3</v>
      </c>
      <c r="BR162" cm="1">
        <f t="array" ref="BR162">_xlfn.IFS(BQ162&gt;0.9,0,BQ162&lt;0.01,0)</f>
        <v>0</v>
      </c>
      <c r="CA162">
        <v>41</v>
      </c>
      <c r="CB162">
        <v>9.5</v>
      </c>
      <c r="CC162">
        <f t="shared" si="56"/>
        <v>17.75</v>
      </c>
      <c r="CD162">
        <f t="shared" si="57"/>
        <v>1.2124905890366753E-2</v>
      </c>
      <c r="CE162" t="e" cm="1">
        <f t="array" ref="CE162">_xlfn.IFS(CD162&gt;0.9,0,CD162&lt;0.01,0)</f>
        <v>#N/A</v>
      </c>
      <c r="CN162">
        <v>41</v>
      </c>
      <c r="CO162">
        <v>95.75</v>
      </c>
      <c r="CP162">
        <f t="shared" si="58"/>
        <v>27</v>
      </c>
      <c r="CQ162">
        <f t="shared" si="59"/>
        <v>6.5884978473664353E-3</v>
      </c>
      <c r="CR162" cm="1">
        <f t="array" ref="CR162">_xlfn.IFS(CQ162&gt;0.9,0,CQ162&lt;0.01,0)</f>
        <v>0</v>
      </c>
      <c r="DA162">
        <v>41</v>
      </c>
      <c r="DB162">
        <v>98</v>
      </c>
      <c r="DC162">
        <f t="shared" si="60"/>
        <v>26.25</v>
      </c>
      <c r="DD162">
        <f t="shared" si="61"/>
        <v>-6.6733164440763984E-4</v>
      </c>
      <c r="DE162" cm="1">
        <f t="array" ref="DE162">_xlfn.IFS(DD162&gt;0.9,0,DD162&lt;0.01,0)</f>
        <v>0</v>
      </c>
      <c r="DN162">
        <v>41</v>
      </c>
      <c r="DO162">
        <v>99.75</v>
      </c>
      <c r="DP162">
        <f t="shared" si="62"/>
        <v>27.75</v>
      </c>
      <c r="DQ162">
        <f t="shared" si="63"/>
        <v>5.8508569133403283E-4</v>
      </c>
      <c r="DR162" cm="1">
        <f t="array" ref="DR162">_xlfn.IFS(DQ162&gt;0.9,0,DQ162&lt;0.01,0)</f>
        <v>0</v>
      </c>
    </row>
    <row r="163" spans="1:122" x14ac:dyDescent="0.4">
      <c r="A163">
        <v>41.25</v>
      </c>
      <c r="B163">
        <v>100</v>
      </c>
      <c r="C163">
        <f t="shared" si="44"/>
        <v>29.05</v>
      </c>
      <c r="D163">
        <f t="shared" si="45"/>
        <v>-1.7189585768350943E-3</v>
      </c>
      <c r="E163" cm="1">
        <f t="array" ref="E163">_xlfn.IFS(D163&gt;0.9,0,D163&lt;0.01,0)</f>
        <v>0</v>
      </c>
      <c r="N163">
        <v>41.25</v>
      </c>
      <c r="O163">
        <v>8.75</v>
      </c>
      <c r="P163">
        <f t="shared" si="46"/>
        <v>19.25</v>
      </c>
      <c r="Q163">
        <f t="shared" si="47"/>
        <v>1.4002711715343182E-2</v>
      </c>
      <c r="R163" t="e" cm="1">
        <f t="array" ref="R163">_xlfn.IFS(Q163&gt;0.9,0,Q163&lt;0.01,0)</f>
        <v>#N/A</v>
      </c>
      <c r="AA163">
        <v>40.25</v>
      </c>
      <c r="AB163">
        <v>26</v>
      </c>
      <c r="AC163">
        <f t="shared" si="48"/>
        <v>27.25</v>
      </c>
      <c r="AD163">
        <f t="shared" si="49"/>
        <v>9.7824835999542423E-4</v>
      </c>
      <c r="AE163" cm="1">
        <f t="array" ref="AE163">_xlfn.IFS(AD163&gt;0.9,0,AD163&lt;0.01,0)</f>
        <v>0</v>
      </c>
      <c r="AN163">
        <v>41.25</v>
      </c>
      <c r="AO163">
        <v>27</v>
      </c>
      <c r="AP163">
        <f t="shared" si="50"/>
        <v>31.75</v>
      </c>
      <c r="AQ163">
        <f t="shared" si="51"/>
        <v>3.243914570737327E-4</v>
      </c>
      <c r="AR163" cm="1">
        <f t="array" ref="AR163">_xlfn.IFS(AQ163&gt;0.9,0,AQ163&lt;0.01,0)</f>
        <v>0</v>
      </c>
      <c r="BA163">
        <v>41.25</v>
      </c>
      <c r="BB163">
        <v>8.25</v>
      </c>
      <c r="BC163">
        <f t="shared" si="52"/>
        <v>23.5</v>
      </c>
      <c r="BD163">
        <f t="shared" si="53"/>
        <v>1.4212575541630508E-2</v>
      </c>
      <c r="BE163" t="e" cm="1">
        <f t="array" ref="BE163">_xlfn.IFS(BD163&gt;0.9,0,BD163&lt;0.01,0)</f>
        <v>#N/A</v>
      </c>
      <c r="BN163">
        <v>41.25</v>
      </c>
      <c r="BO163">
        <v>90</v>
      </c>
      <c r="BP163">
        <f t="shared" si="54"/>
        <v>26.25</v>
      </c>
      <c r="BQ163">
        <f t="shared" si="55"/>
        <v>7.4147479058996393E-3</v>
      </c>
      <c r="BR163" cm="1">
        <f t="array" ref="BR163">_xlfn.IFS(BQ163&gt;0.9,0,BQ163&lt;0.01,0)</f>
        <v>0</v>
      </c>
      <c r="CA163">
        <v>41.25</v>
      </c>
      <c r="CB163">
        <v>9.5</v>
      </c>
      <c r="CC163">
        <f t="shared" si="56"/>
        <v>18</v>
      </c>
      <c r="CD163">
        <f t="shared" si="57"/>
        <v>1.2124905890366753E-2</v>
      </c>
      <c r="CE163" t="e" cm="1">
        <f t="array" ref="CE163">_xlfn.IFS(CD163&gt;0.9,0,CD163&lt;0.01,0)</f>
        <v>#N/A</v>
      </c>
      <c r="CN163">
        <v>41.25</v>
      </c>
      <c r="CO163">
        <v>95.75</v>
      </c>
      <c r="CP163">
        <f t="shared" si="58"/>
        <v>27.25</v>
      </c>
      <c r="CQ163">
        <f t="shared" si="59"/>
        <v>6.5884978473664353E-3</v>
      </c>
      <c r="CR163" cm="1">
        <f t="array" ref="CR163">_xlfn.IFS(CQ163&gt;0.9,0,CQ163&lt;0.01,0)</f>
        <v>0</v>
      </c>
      <c r="DA163">
        <v>41.25</v>
      </c>
      <c r="DB163">
        <v>98</v>
      </c>
      <c r="DC163">
        <f t="shared" si="60"/>
        <v>26.5</v>
      </c>
      <c r="DD163">
        <f t="shared" si="61"/>
        <v>-6.6733164440763984E-4</v>
      </c>
      <c r="DE163" cm="1">
        <f t="array" ref="DE163">_xlfn.IFS(DD163&gt;0.9,0,DD163&lt;0.01,0)</f>
        <v>0</v>
      </c>
      <c r="DN163">
        <v>41.25</v>
      </c>
      <c r="DO163">
        <v>99.75</v>
      </c>
      <c r="DP163">
        <f t="shared" si="62"/>
        <v>28</v>
      </c>
      <c r="DQ163">
        <f t="shared" si="63"/>
        <v>5.8508569133403283E-4</v>
      </c>
      <c r="DR163" cm="1">
        <f t="array" ref="DR163">_xlfn.IFS(DQ163&gt;0.9,0,DQ163&lt;0.01,0)</f>
        <v>0</v>
      </c>
    </row>
    <row r="164" spans="1:122" x14ac:dyDescent="0.4">
      <c r="A164">
        <v>41.5</v>
      </c>
      <c r="B164">
        <v>100</v>
      </c>
      <c r="C164">
        <f t="shared" si="44"/>
        <v>29.3</v>
      </c>
      <c r="D164">
        <f t="shared" si="45"/>
        <v>-1.7189585768350943E-3</v>
      </c>
      <c r="E164" cm="1">
        <f t="array" ref="E164">_xlfn.IFS(D164&gt;0.9,0,D164&lt;0.01,0)</f>
        <v>0</v>
      </c>
      <c r="N164">
        <v>41.5</v>
      </c>
      <c r="O164">
        <v>8.75</v>
      </c>
      <c r="P164">
        <f t="shared" si="46"/>
        <v>19.5</v>
      </c>
      <c r="Q164">
        <f t="shared" si="47"/>
        <v>1.4002711715343182E-2</v>
      </c>
      <c r="R164" t="e" cm="1">
        <f t="array" ref="R164">_xlfn.IFS(Q164&gt;0.9,0,Q164&lt;0.01,0)</f>
        <v>#N/A</v>
      </c>
      <c r="AA164">
        <v>40.5</v>
      </c>
      <c r="AB164">
        <v>26</v>
      </c>
      <c r="AC164">
        <f t="shared" si="48"/>
        <v>27.5</v>
      </c>
      <c r="AD164">
        <f t="shared" si="49"/>
        <v>9.7824835999542423E-4</v>
      </c>
      <c r="AE164" cm="1">
        <f t="array" ref="AE164">_xlfn.IFS(AD164&gt;0.9,0,AD164&lt;0.01,0)</f>
        <v>0</v>
      </c>
      <c r="AN164">
        <v>41.5</v>
      </c>
      <c r="AO164">
        <v>27</v>
      </c>
      <c r="AP164">
        <f t="shared" si="50"/>
        <v>32</v>
      </c>
      <c r="AQ164">
        <f t="shared" si="51"/>
        <v>3.243914570737327E-4</v>
      </c>
      <c r="AR164" cm="1">
        <f t="array" ref="AR164">_xlfn.IFS(AQ164&gt;0.9,0,AQ164&lt;0.01,0)</f>
        <v>0</v>
      </c>
      <c r="BA164">
        <v>41.5</v>
      </c>
      <c r="BB164">
        <v>8.25</v>
      </c>
      <c r="BC164">
        <f t="shared" si="52"/>
        <v>23.75</v>
      </c>
      <c r="BD164">
        <f t="shared" si="53"/>
        <v>1.4212575541630508E-2</v>
      </c>
      <c r="BE164" t="e" cm="1">
        <f t="array" ref="BE164">_xlfn.IFS(BD164&gt;0.9,0,BD164&lt;0.01,0)</f>
        <v>#N/A</v>
      </c>
      <c r="BN164">
        <v>41.5</v>
      </c>
      <c r="BO164">
        <v>89.75</v>
      </c>
      <c r="BP164">
        <f t="shared" si="54"/>
        <v>26.5</v>
      </c>
      <c r="BQ164">
        <f t="shared" si="55"/>
        <v>1.0390092606993123E-2</v>
      </c>
      <c r="BR164" t="e" cm="1">
        <f t="array" ref="BR164">_xlfn.IFS(BQ164&gt;0.9,0,BQ164&lt;0.01,0)</f>
        <v>#N/A</v>
      </c>
      <c r="CA164">
        <v>41.5</v>
      </c>
      <c r="CB164">
        <v>9.5</v>
      </c>
      <c r="CC164">
        <f t="shared" si="56"/>
        <v>18.25</v>
      </c>
      <c r="CD164">
        <f t="shared" si="57"/>
        <v>1.2124905890366753E-2</v>
      </c>
      <c r="CE164" t="e" cm="1">
        <f t="array" ref="CE164">_xlfn.IFS(CD164&gt;0.9,0,CD164&lt;0.01,0)</f>
        <v>#N/A</v>
      </c>
      <c r="CN164">
        <v>41.5</v>
      </c>
      <c r="CO164">
        <v>96</v>
      </c>
      <c r="CP164">
        <f t="shared" si="58"/>
        <v>27.5</v>
      </c>
      <c r="CQ164">
        <f t="shared" si="59"/>
        <v>3.8059769118281707E-3</v>
      </c>
      <c r="CR164" cm="1">
        <f t="array" ref="CR164">_xlfn.IFS(CQ164&gt;0.9,0,CQ164&lt;0.01,0)</f>
        <v>0</v>
      </c>
      <c r="DA164">
        <v>41.5</v>
      </c>
      <c r="DB164">
        <v>98</v>
      </c>
      <c r="DC164">
        <f t="shared" si="60"/>
        <v>26.75</v>
      </c>
      <c r="DD164">
        <f t="shared" si="61"/>
        <v>-6.6733164440763984E-4</v>
      </c>
      <c r="DE164" cm="1">
        <f t="array" ref="DE164">_xlfn.IFS(DD164&gt;0.9,0,DD164&lt;0.01,0)</f>
        <v>0</v>
      </c>
      <c r="DN164">
        <v>41.5</v>
      </c>
      <c r="DO164">
        <v>99.75</v>
      </c>
      <c r="DP164">
        <f t="shared" si="62"/>
        <v>28.25</v>
      </c>
      <c r="DQ164">
        <f t="shared" si="63"/>
        <v>5.8508569133403283E-4</v>
      </c>
      <c r="DR164" cm="1">
        <f t="array" ref="DR164">_xlfn.IFS(DQ164&gt;0.9,0,DQ164&lt;0.01,0)</f>
        <v>0</v>
      </c>
    </row>
    <row r="165" spans="1:122" x14ac:dyDescent="0.4">
      <c r="A165">
        <v>41.75</v>
      </c>
      <c r="B165">
        <v>100</v>
      </c>
      <c r="C165">
        <f t="shared" si="44"/>
        <v>29.55</v>
      </c>
      <c r="D165">
        <f t="shared" si="45"/>
        <v>-1.7189585768350943E-3</v>
      </c>
      <c r="E165" cm="1">
        <f t="array" ref="E165">_xlfn.IFS(D165&gt;0.9,0,D165&lt;0.01,0)</f>
        <v>0</v>
      </c>
      <c r="N165">
        <v>41.75</v>
      </c>
      <c r="O165">
        <v>8.5</v>
      </c>
      <c r="P165">
        <f t="shared" si="46"/>
        <v>19.75</v>
      </c>
      <c r="Q165">
        <f t="shared" si="47"/>
        <v>1.1358422807724727E-2</v>
      </c>
      <c r="R165" t="e" cm="1">
        <f t="array" ref="R165">_xlfn.IFS(Q165&gt;0.9,0,Q165&lt;0.01,0)</f>
        <v>#N/A</v>
      </c>
      <c r="AA165">
        <v>40.75</v>
      </c>
      <c r="AB165">
        <v>26.25</v>
      </c>
      <c r="AC165">
        <f t="shared" si="48"/>
        <v>27.75</v>
      </c>
      <c r="AD165">
        <f t="shared" si="49"/>
        <v>-1.2228104499942426E-2</v>
      </c>
      <c r="AE165" cm="1">
        <f t="array" ref="AE165">_xlfn.IFS(AD165&gt;0.9,0,AD165&lt;0.01,0)</f>
        <v>0</v>
      </c>
      <c r="AN165">
        <v>41.75</v>
      </c>
      <c r="AO165">
        <v>27</v>
      </c>
      <c r="AP165">
        <f t="shared" si="50"/>
        <v>32.25</v>
      </c>
      <c r="AQ165">
        <f t="shared" si="51"/>
        <v>3.243914570737327E-4</v>
      </c>
      <c r="AR165" cm="1">
        <f t="array" ref="AR165">_xlfn.IFS(AQ165&gt;0.9,0,AQ165&lt;0.01,0)</f>
        <v>0</v>
      </c>
      <c r="BA165">
        <v>41.75</v>
      </c>
      <c r="BB165">
        <v>8.25</v>
      </c>
      <c r="BC165">
        <f t="shared" si="52"/>
        <v>24</v>
      </c>
      <c r="BD165">
        <f t="shared" si="53"/>
        <v>1.4212575541630508E-2</v>
      </c>
      <c r="BE165" t="e" cm="1">
        <f t="array" ref="BE165">_xlfn.IFS(BD165&gt;0.9,0,BD165&lt;0.01,0)</f>
        <v>#N/A</v>
      </c>
      <c r="BN165">
        <v>41.75</v>
      </c>
      <c r="BO165">
        <v>90</v>
      </c>
      <c r="BP165">
        <f t="shared" si="54"/>
        <v>26.75</v>
      </c>
      <c r="BQ165">
        <f t="shared" si="55"/>
        <v>7.4147479058996393E-3</v>
      </c>
      <c r="BR165" cm="1">
        <f t="array" ref="BR165">_xlfn.IFS(BQ165&gt;0.9,0,BQ165&lt;0.01,0)</f>
        <v>0</v>
      </c>
      <c r="CA165">
        <v>41.75</v>
      </c>
      <c r="CB165">
        <v>9.25</v>
      </c>
      <c r="CC165">
        <f t="shared" si="56"/>
        <v>18.5</v>
      </c>
      <c r="CD165">
        <f t="shared" si="57"/>
        <v>9.1468588295749165E-3</v>
      </c>
      <c r="CE165" cm="1">
        <f t="array" ref="CE165">_xlfn.IFS(CD165&gt;0.9,0,CD165&lt;0.01,0)</f>
        <v>0</v>
      </c>
      <c r="CN165">
        <v>41.75</v>
      </c>
      <c r="CO165">
        <v>96</v>
      </c>
      <c r="CP165">
        <f t="shared" si="58"/>
        <v>27.75</v>
      </c>
      <c r="CQ165">
        <f t="shared" si="59"/>
        <v>3.8059769118281707E-3</v>
      </c>
      <c r="CR165" cm="1">
        <f t="array" ref="CR165">_xlfn.IFS(CQ165&gt;0.9,0,CQ165&lt;0.01,0)</f>
        <v>0</v>
      </c>
      <c r="DA165">
        <v>41.75</v>
      </c>
      <c r="DB165">
        <v>97.75</v>
      </c>
      <c r="DC165">
        <f t="shared" si="60"/>
        <v>27</v>
      </c>
      <c r="DD165">
        <f t="shared" si="61"/>
        <v>2.1449945713099623E-3</v>
      </c>
      <c r="DE165" cm="1">
        <f t="array" ref="DE165">_xlfn.IFS(DD165&gt;0.9,0,DD165&lt;0.01,0)</f>
        <v>0</v>
      </c>
      <c r="DN165">
        <v>41.75</v>
      </c>
      <c r="DO165">
        <v>99.75</v>
      </c>
      <c r="DP165">
        <f t="shared" si="62"/>
        <v>28.5</v>
      </c>
      <c r="DQ165">
        <f t="shared" si="63"/>
        <v>5.8508569133403283E-4</v>
      </c>
      <c r="DR165" cm="1">
        <f t="array" ref="DR165">_xlfn.IFS(DQ165&gt;0.9,0,DQ165&lt;0.01,0)</f>
        <v>0</v>
      </c>
    </row>
    <row r="166" spans="1:122" x14ac:dyDescent="0.4">
      <c r="A166">
        <v>42</v>
      </c>
      <c r="B166">
        <v>100</v>
      </c>
      <c r="C166">
        <f t="shared" si="44"/>
        <v>29.8</v>
      </c>
      <c r="D166">
        <f t="shared" si="45"/>
        <v>-1.7189585768350943E-3</v>
      </c>
      <c r="E166" cm="1">
        <f t="array" ref="E166">_xlfn.IFS(D166&gt;0.9,0,D166&lt;0.01,0)</f>
        <v>0</v>
      </c>
      <c r="N166">
        <v>42</v>
      </c>
      <c r="O166">
        <v>8.5</v>
      </c>
      <c r="P166">
        <f t="shared" si="46"/>
        <v>20</v>
      </c>
      <c r="Q166">
        <f t="shared" si="47"/>
        <v>1.1358422807724727E-2</v>
      </c>
      <c r="R166" t="e" cm="1">
        <f t="array" ref="R166">_xlfn.IFS(Q166&gt;0.9,0,Q166&lt;0.01,0)</f>
        <v>#N/A</v>
      </c>
      <c r="AA166">
        <v>41</v>
      </c>
      <c r="AB166">
        <v>26</v>
      </c>
      <c r="AC166">
        <f t="shared" si="48"/>
        <v>28</v>
      </c>
      <c r="AD166">
        <f t="shared" si="49"/>
        <v>9.7824835999542423E-4</v>
      </c>
      <c r="AE166" cm="1">
        <f t="array" ref="AE166">_xlfn.IFS(AD166&gt;0.9,0,AD166&lt;0.01,0)</f>
        <v>0</v>
      </c>
      <c r="AN166">
        <v>42</v>
      </c>
      <c r="AO166">
        <v>27</v>
      </c>
      <c r="AP166">
        <f t="shared" si="50"/>
        <v>32.5</v>
      </c>
      <c r="AQ166">
        <f t="shared" si="51"/>
        <v>3.243914570737327E-4</v>
      </c>
      <c r="AR166" cm="1">
        <f t="array" ref="AR166">_xlfn.IFS(AQ166&gt;0.9,0,AQ166&lt;0.01,0)</f>
        <v>0</v>
      </c>
      <c r="BA166">
        <v>42</v>
      </c>
      <c r="BB166">
        <v>8</v>
      </c>
      <c r="BC166">
        <f t="shared" si="52"/>
        <v>24.25</v>
      </c>
      <c r="BD166">
        <f t="shared" si="53"/>
        <v>1.1522338028393303E-2</v>
      </c>
      <c r="BE166" t="e" cm="1">
        <f t="array" ref="BE166">_xlfn.IFS(BD166&gt;0.9,0,BD166&lt;0.01,0)</f>
        <v>#N/A</v>
      </c>
      <c r="BN166">
        <v>42</v>
      </c>
      <c r="BO166">
        <v>90</v>
      </c>
      <c r="BP166">
        <f t="shared" si="54"/>
        <v>27</v>
      </c>
      <c r="BQ166">
        <f t="shared" si="55"/>
        <v>7.4147479058996393E-3</v>
      </c>
      <c r="BR166" cm="1">
        <f t="array" ref="BR166">_xlfn.IFS(BQ166&gt;0.9,0,BQ166&lt;0.01,0)</f>
        <v>0</v>
      </c>
      <c r="CA166">
        <v>42</v>
      </c>
      <c r="CB166">
        <v>9.25</v>
      </c>
      <c r="CC166">
        <f t="shared" si="56"/>
        <v>18.75</v>
      </c>
      <c r="CD166">
        <f t="shared" si="57"/>
        <v>9.1468588295749165E-3</v>
      </c>
      <c r="CE166" cm="1">
        <f t="array" ref="CE166">_xlfn.IFS(CD166&gt;0.9,0,CD166&lt;0.01,0)</f>
        <v>0</v>
      </c>
      <c r="CN166">
        <v>42</v>
      </c>
      <c r="CO166">
        <v>95.75</v>
      </c>
      <c r="CP166">
        <f t="shared" si="58"/>
        <v>28</v>
      </c>
      <c r="CQ166">
        <f t="shared" si="59"/>
        <v>6.5884978473664353E-3</v>
      </c>
      <c r="CR166" cm="1">
        <f t="array" ref="CR166">_xlfn.IFS(CQ166&gt;0.9,0,CQ166&lt;0.01,0)</f>
        <v>0</v>
      </c>
      <c r="DA166">
        <v>42</v>
      </c>
      <c r="DB166">
        <v>98</v>
      </c>
      <c r="DC166">
        <f t="shared" si="60"/>
        <v>27.25</v>
      </c>
      <c r="DD166">
        <f t="shared" si="61"/>
        <v>-6.6733164440763984E-4</v>
      </c>
      <c r="DE166" cm="1">
        <f t="array" ref="DE166">_xlfn.IFS(DD166&gt;0.9,0,DD166&lt;0.01,0)</f>
        <v>0</v>
      </c>
      <c r="DN166">
        <v>42</v>
      </c>
      <c r="DO166">
        <v>99.75</v>
      </c>
      <c r="DP166">
        <f t="shared" si="62"/>
        <v>28.75</v>
      </c>
      <c r="DQ166">
        <f t="shared" si="63"/>
        <v>5.8508569133403283E-4</v>
      </c>
      <c r="DR166" cm="1">
        <f t="array" ref="DR166">_xlfn.IFS(DQ166&gt;0.9,0,DQ166&lt;0.01,0)</f>
        <v>0</v>
      </c>
    </row>
    <row r="167" spans="1:122" x14ac:dyDescent="0.4">
      <c r="A167">
        <v>42.25</v>
      </c>
      <c r="B167">
        <v>100</v>
      </c>
      <c r="C167">
        <f t="shared" si="44"/>
        <v>30.05</v>
      </c>
      <c r="D167">
        <f t="shared" si="45"/>
        <v>-1.7189585768350943E-3</v>
      </c>
      <c r="E167" cm="1">
        <f t="array" ref="E167">_xlfn.IFS(D167&gt;0.9,0,D167&lt;0.01,0)</f>
        <v>0</v>
      </c>
      <c r="N167">
        <v>42.25</v>
      </c>
      <c r="O167">
        <v>8.75</v>
      </c>
      <c r="P167">
        <f t="shared" si="46"/>
        <v>20.25</v>
      </c>
      <c r="Q167">
        <f t="shared" si="47"/>
        <v>1.4002711715343182E-2</v>
      </c>
      <c r="R167" t="e" cm="1">
        <f t="array" ref="R167">_xlfn.IFS(Q167&gt;0.9,0,Q167&lt;0.01,0)</f>
        <v>#N/A</v>
      </c>
      <c r="AA167">
        <v>41.25</v>
      </c>
      <c r="AB167">
        <v>26.25</v>
      </c>
      <c r="AC167">
        <f t="shared" si="48"/>
        <v>28.25</v>
      </c>
      <c r="AD167">
        <f t="shared" si="49"/>
        <v>-1.2228104499942426E-2</v>
      </c>
      <c r="AE167" cm="1">
        <f t="array" ref="AE167">_xlfn.IFS(AD167&gt;0.9,0,AD167&lt;0.01,0)</f>
        <v>0</v>
      </c>
      <c r="AN167">
        <v>42.25</v>
      </c>
      <c r="AO167">
        <v>27</v>
      </c>
      <c r="AP167">
        <f t="shared" si="50"/>
        <v>32.75</v>
      </c>
      <c r="AQ167">
        <f t="shared" si="51"/>
        <v>3.243914570737327E-4</v>
      </c>
      <c r="AR167" cm="1">
        <f t="array" ref="AR167">_xlfn.IFS(AQ167&gt;0.9,0,AQ167&lt;0.01,0)</f>
        <v>0</v>
      </c>
      <c r="BA167">
        <v>42.25</v>
      </c>
      <c r="BB167">
        <v>8</v>
      </c>
      <c r="BC167">
        <f t="shared" si="52"/>
        <v>24.5</v>
      </c>
      <c r="BD167">
        <f t="shared" si="53"/>
        <v>1.1522338028393303E-2</v>
      </c>
      <c r="BE167" t="e" cm="1">
        <f t="array" ref="BE167">_xlfn.IFS(BD167&gt;0.9,0,BD167&lt;0.01,0)</f>
        <v>#N/A</v>
      </c>
      <c r="BN167">
        <v>42.25</v>
      </c>
      <c r="BO167">
        <v>90</v>
      </c>
      <c r="BP167">
        <f t="shared" si="54"/>
        <v>27.25</v>
      </c>
      <c r="BQ167">
        <f t="shared" si="55"/>
        <v>7.4147479058996393E-3</v>
      </c>
      <c r="BR167" cm="1">
        <f t="array" ref="BR167">_xlfn.IFS(BQ167&gt;0.9,0,BQ167&lt;0.01,0)</f>
        <v>0</v>
      </c>
      <c r="CA167">
        <v>42.25</v>
      </c>
      <c r="CB167">
        <v>9.25</v>
      </c>
      <c r="CC167">
        <f t="shared" si="56"/>
        <v>19</v>
      </c>
      <c r="CD167">
        <f t="shared" si="57"/>
        <v>9.1468588295749165E-3</v>
      </c>
      <c r="CE167" cm="1">
        <f t="array" ref="CE167">_xlfn.IFS(CD167&gt;0.9,0,CD167&lt;0.01,0)</f>
        <v>0</v>
      </c>
      <c r="CN167">
        <v>42.25</v>
      </c>
      <c r="CO167">
        <v>96</v>
      </c>
      <c r="CP167">
        <f t="shared" si="58"/>
        <v>28.25</v>
      </c>
      <c r="CQ167">
        <f t="shared" si="59"/>
        <v>3.8059769118281707E-3</v>
      </c>
      <c r="CR167" cm="1">
        <f t="array" ref="CR167">_xlfn.IFS(CQ167&gt;0.9,0,CQ167&lt;0.01,0)</f>
        <v>0</v>
      </c>
      <c r="DA167">
        <v>42.25</v>
      </c>
      <c r="DB167">
        <v>98</v>
      </c>
      <c r="DC167">
        <f t="shared" si="60"/>
        <v>27.5</v>
      </c>
      <c r="DD167">
        <f t="shared" si="61"/>
        <v>-6.6733164440763984E-4</v>
      </c>
      <c r="DE167" cm="1">
        <f t="array" ref="DE167">_xlfn.IFS(DD167&gt;0.9,0,DD167&lt;0.01,0)</f>
        <v>0</v>
      </c>
      <c r="DN167">
        <v>42.25</v>
      </c>
      <c r="DO167">
        <v>99.75</v>
      </c>
      <c r="DP167">
        <f t="shared" si="62"/>
        <v>29</v>
      </c>
      <c r="DQ167">
        <f t="shared" si="63"/>
        <v>5.8508569133403283E-4</v>
      </c>
      <c r="DR167" cm="1">
        <f t="array" ref="DR167">_xlfn.IFS(DQ167&gt;0.9,0,DQ167&lt;0.01,0)</f>
        <v>0</v>
      </c>
    </row>
    <row r="168" spans="1:122" x14ac:dyDescent="0.4">
      <c r="A168">
        <v>42.5</v>
      </c>
      <c r="B168">
        <v>99.75</v>
      </c>
      <c r="C168">
        <f t="shared" si="44"/>
        <v>30.3</v>
      </c>
      <c r="D168">
        <f t="shared" si="45"/>
        <v>9.0722813777418534E-4</v>
      </c>
      <c r="E168" cm="1">
        <f t="array" ref="E168">_xlfn.IFS(D168&gt;0.9,0,D168&lt;0.01,0)</f>
        <v>0</v>
      </c>
      <c r="N168">
        <v>42.5</v>
      </c>
      <c r="O168">
        <v>8.5</v>
      </c>
      <c r="P168">
        <f t="shared" si="46"/>
        <v>20.5</v>
      </c>
      <c r="Q168">
        <f t="shared" si="47"/>
        <v>1.1358422807724727E-2</v>
      </c>
      <c r="R168" t="e" cm="1">
        <f t="array" ref="R168">_xlfn.IFS(Q168&gt;0.9,0,Q168&lt;0.01,0)</f>
        <v>#N/A</v>
      </c>
      <c r="AA168">
        <v>41.5</v>
      </c>
      <c r="AB168">
        <v>26</v>
      </c>
      <c r="AC168">
        <f t="shared" si="48"/>
        <v>28.5</v>
      </c>
      <c r="AD168">
        <f t="shared" si="49"/>
        <v>9.7824835999542423E-4</v>
      </c>
      <c r="AE168" cm="1">
        <f t="array" ref="AE168">_xlfn.IFS(AD168&gt;0.9,0,AD168&lt;0.01,0)</f>
        <v>0</v>
      </c>
      <c r="AN168">
        <v>42.5</v>
      </c>
      <c r="AO168">
        <v>27</v>
      </c>
      <c r="AP168">
        <f t="shared" si="50"/>
        <v>33</v>
      </c>
      <c r="AQ168">
        <f t="shared" si="51"/>
        <v>3.243914570737327E-4</v>
      </c>
      <c r="AR168" cm="1">
        <f t="array" ref="AR168">_xlfn.IFS(AQ168&gt;0.9,0,AQ168&lt;0.01,0)</f>
        <v>0</v>
      </c>
      <c r="BA168">
        <v>42.5</v>
      </c>
      <c r="BB168">
        <v>8</v>
      </c>
      <c r="BC168">
        <f t="shared" si="52"/>
        <v>24.75</v>
      </c>
      <c r="BD168">
        <f t="shared" si="53"/>
        <v>1.1522338028393303E-2</v>
      </c>
      <c r="BE168" t="e" cm="1">
        <f t="array" ref="BE168">_xlfn.IFS(BD168&gt;0.9,0,BD168&lt;0.01,0)</f>
        <v>#N/A</v>
      </c>
      <c r="BN168">
        <v>42.5</v>
      </c>
      <c r="BO168">
        <v>89.75</v>
      </c>
      <c r="BP168">
        <f t="shared" si="54"/>
        <v>27.5</v>
      </c>
      <c r="BQ168">
        <f t="shared" si="55"/>
        <v>1.0390092606993123E-2</v>
      </c>
      <c r="BR168" t="e" cm="1">
        <f t="array" ref="BR168">_xlfn.IFS(BQ168&gt;0.9,0,BQ168&lt;0.01,0)</f>
        <v>#N/A</v>
      </c>
      <c r="CA168">
        <v>42.5</v>
      </c>
      <c r="CB168">
        <v>9.25</v>
      </c>
      <c r="CC168">
        <f t="shared" si="56"/>
        <v>19.25</v>
      </c>
      <c r="CD168">
        <f t="shared" si="57"/>
        <v>9.1468588295749165E-3</v>
      </c>
      <c r="CE168" cm="1">
        <f t="array" ref="CE168">_xlfn.IFS(CD168&gt;0.9,0,CD168&lt;0.01,0)</f>
        <v>0</v>
      </c>
      <c r="CN168">
        <v>42.5</v>
      </c>
      <c r="CO168">
        <v>96</v>
      </c>
      <c r="CP168">
        <f t="shared" si="58"/>
        <v>28.5</v>
      </c>
      <c r="CQ168">
        <f t="shared" si="59"/>
        <v>3.8059769118281707E-3</v>
      </c>
      <c r="CR168" cm="1">
        <f t="array" ref="CR168">_xlfn.IFS(CQ168&gt;0.9,0,CQ168&lt;0.01,0)</f>
        <v>0</v>
      </c>
      <c r="DA168">
        <v>42.5</v>
      </c>
      <c r="DB168">
        <v>98</v>
      </c>
      <c r="DC168">
        <f t="shared" si="60"/>
        <v>27.75</v>
      </c>
      <c r="DD168">
        <f t="shared" si="61"/>
        <v>-6.6733164440763984E-4</v>
      </c>
      <c r="DE168" cm="1">
        <f t="array" ref="DE168">_xlfn.IFS(DD168&gt;0.9,0,DD168&lt;0.01,0)</f>
        <v>0</v>
      </c>
      <c r="DN168">
        <v>42.5</v>
      </c>
      <c r="DO168">
        <v>99.75</v>
      </c>
      <c r="DP168">
        <f t="shared" si="62"/>
        <v>29.25</v>
      </c>
      <c r="DQ168">
        <f t="shared" si="63"/>
        <v>5.8508569133403283E-4</v>
      </c>
      <c r="DR168" cm="1">
        <f t="array" ref="DR168">_xlfn.IFS(DQ168&gt;0.9,0,DQ168&lt;0.01,0)</f>
        <v>0</v>
      </c>
    </row>
    <row r="169" spans="1:122" x14ac:dyDescent="0.4">
      <c r="A169">
        <v>42.75</v>
      </c>
      <c r="B169">
        <v>99.75</v>
      </c>
      <c r="C169">
        <f t="shared" si="44"/>
        <v>30.55</v>
      </c>
      <c r="D169">
        <f t="shared" si="45"/>
        <v>9.0722813777418534E-4</v>
      </c>
      <c r="E169" cm="1">
        <f t="array" ref="E169">_xlfn.IFS(D169&gt;0.9,0,D169&lt;0.01,0)</f>
        <v>0</v>
      </c>
      <c r="N169">
        <v>42.75</v>
      </c>
      <c r="O169">
        <v>8.5</v>
      </c>
      <c r="P169">
        <f t="shared" si="46"/>
        <v>20.75</v>
      </c>
      <c r="Q169">
        <f t="shared" si="47"/>
        <v>1.1358422807724727E-2</v>
      </c>
      <c r="R169" t="e" cm="1">
        <f t="array" ref="R169">_xlfn.IFS(Q169&gt;0.9,0,Q169&lt;0.01,0)</f>
        <v>#N/A</v>
      </c>
      <c r="AA169">
        <v>41.75</v>
      </c>
      <c r="AB169">
        <v>26</v>
      </c>
      <c r="AC169">
        <f t="shared" si="48"/>
        <v>28.75</v>
      </c>
      <c r="AD169">
        <f t="shared" si="49"/>
        <v>9.7824835999542423E-4</v>
      </c>
      <c r="AE169" cm="1">
        <f t="array" ref="AE169">_xlfn.IFS(AD169&gt;0.9,0,AD169&lt;0.01,0)</f>
        <v>0</v>
      </c>
      <c r="AN169">
        <v>42.75</v>
      </c>
      <c r="AO169">
        <v>27</v>
      </c>
      <c r="AP169">
        <f t="shared" si="50"/>
        <v>33.25</v>
      </c>
      <c r="AQ169">
        <f t="shared" si="51"/>
        <v>3.243914570737327E-4</v>
      </c>
      <c r="AR169" cm="1">
        <f t="array" ref="AR169">_xlfn.IFS(AQ169&gt;0.9,0,AQ169&lt;0.01,0)</f>
        <v>0</v>
      </c>
      <c r="BA169">
        <v>42.75</v>
      </c>
      <c r="BB169">
        <v>8</v>
      </c>
      <c r="BC169">
        <f t="shared" si="52"/>
        <v>25</v>
      </c>
      <c r="BD169">
        <f t="shared" si="53"/>
        <v>1.1522338028393303E-2</v>
      </c>
      <c r="BE169" t="e" cm="1">
        <f t="array" ref="BE169">_xlfn.IFS(BD169&gt;0.9,0,BD169&lt;0.01,0)</f>
        <v>#N/A</v>
      </c>
      <c r="BN169">
        <v>42.75</v>
      </c>
      <c r="BO169">
        <v>89.75</v>
      </c>
      <c r="BP169">
        <f t="shared" si="54"/>
        <v>27.75</v>
      </c>
      <c r="BQ169">
        <f t="shared" si="55"/>
        <v>1.0390092606993123E-2</v>
      </c>
      <c r="BR169" t="e" cm="1">
        <f t="array" ref="BR169">_xlfn.IFS(BQ169&gt;0.9,0,BQ169&lt;0.01,0)</f>
        <v>#N/A</v>
      </c>
      <c r="CA169">
        <v>42.75</v>
      </c>
      <c r="CB169">
        <v>9.25</v>
      </c>
      <c r="CC169">
        <f t="shared" si="56"/>
        <v>19.5</v>
      </c>
      <c r="CD169">
        <f t="shared" si="57"/>
        <v>9.1468588295749165E-3</v>
      </c>
      <c r="CE169" cm="1">
        <f t="array" ref="CE169">_xlfn.IFS(CD169&gt;0.9,0,CD169&lt;0.01,0)</f>
        <v>0</v>
      </c>
      <c r="CN169">
        <v>42.75</v>
      </c>
      <c r="CO169">
        <v>96</v>
      </c>
      <c r="CP169">
        <f t="shared" si="58"/>
        <v>28.75</v>
      </c>
      <c r="CQ169">
        <f t="shared" si="59"/>
        <v>3.8059769118281707E-3</v>
      </c>
      <c r="CR169" cm="1">
        <f t="array" ref="CR169">_xlfn.IFS(CQ169&gt;0.9,0,CQ169&lt;0.01,0)</f>
        <v>0</v>
      </c>
      <c r="DA169">
        <v>42.75</v>
      </c>
      <c r="DB169">
        <v>98</v>
      </c>
      <c r="DC169">
        <f t="shared" si="60"/>
        <v>28</v>
      </c>
      <c r="DD169">
        <f t="shared" si="61"/>
        <v>-6.6733164440763984E-4</v>
      </c>
      <c r="DE169" cm="1">
        <f t="array" ref="DE169">_xlfn.IFS(DD169&gt;0.9,0,DD169&lt;0.01,0)</f>
        <v>0</v>
      </c>
      <c r="DN169">
        <v>42.75</v>
      </c>
      <c r="DO169">
        <v>99.75</v>
      </c>
      <c r="DP169">
        <f t="shared" si="62"/>
        <v>29.5</v>
      </c>
      <c r="DQ169">
        <f t="shared" si="63"/>
        <v>5.8508569133403283E-4</v>
      </c>
      <c r="DR169" cm="1">
        <f t="array" ref="DR169">_xlfn.IFS(DQ169&gt;0.9,0,DQ169&lt;0.01,0)</f>
        <v>0</v>
      </c>
    </row>
    <row r="170" spans="1:122" x14ac:dyDescent="0.4">
      <c r="A170">
        <v>43</v>
      </c>
      <c r="B170">
        <v>100</v>
      </c>
      <c r="C170">
        <f t="shared" si="44"/>
        <v>30.8</v>
      </c>
      <c r="D170">
        <f t="shared" si="45"/>
        <v>-1.7189585768350943E-3</v>
      </c>
      <c r="E170" cm="1">
        <f t="array" ref="E170">_xlfn.IFS(D170&gt;0.9,0,D170&lt;0.01,0)</f>
        <v>0</v>
      </c>
      <c r="N170">
        <v>43</v>
      </c>
      <c r="O170">
        <v>8.5</v>
      </c>
      <c r="P170">
        <f t="shared" si="46"/>
        <v>21</v>
      </c>
      <c r="Q170">
        <f t="shared" si="47"/>
        <v>1.1358422807724727E-2</v>
      </c>
      <c r="R170" t="e" cm="1">
        <f t="array" ref="R170">_xlfn.IFS(Q170&gt;0.9,0,Q170&lt;0.01,0)</f>
        <v>#N/A</v>
      </c>
      <c r="AA170">
        <v>42</v>
      </c>
      <c r="AB170">
        <v>26</v>
      </c>
      <c r="AC170">
        <f t="shared" si="48"/>
        <v>29</v>
      </c>
      <c r="AD170">
        <f t="shared" si="49"/>
        <v>9.7824835999542423E-4</v>
      </c>
      <c r="AE170" cm="1">
        <f t="array" ref="AE170">_xlfn.IFS(AD170&gt;0.9,0,AD170&lt;0.01,0)</f>
        <v>0</v>
      </c>
      <c r="AN170">
        <v>43.000999999999998</v>
      </c>
      <c r="AO170">
        <v>27</v>
      </c>
      <c r="AP170">
        <f t="shared" si="50"/>
        <v>33.500999999999998</v>
      </c>
      <c r="AQ170">
        <f t="shared" si="51"/>
        <v>3.243914570737327E-4</v>
      </c>
      <c r="AR170" cm="1">
        <f t="array" ref="AR170">_xlfn.IFS(AQ170&gt;0.9,0,AQ170&lt;0.01,0)</f>
        <v>0</v>
      </c>
      <c r="BA170">
        <v>43</v>
      </c>
      <c r="BB170">
        <v>8</v>
      </c>
      <c r="BC170">
        <f t="shared" si="52"/>
        <v>25.25</v>
      </c>
      <c r="BD170">
        <f t="shared" si="53"/>
        <v>1.1522338028393303E-2</v>
      </c>
      <c r="BE170" t="e" cm="1">
        <f t="array" ref="BE170">_xlfn.IFS(BD170&gt;0.9,0,BD170&lt;0.01,0)</f>
        <v>#N/A</v>
      </c>
      <c r="BN170">
        <v>43</v>
      </c>
      <c r="BO170">
        <v>90</v>
      </c>
      <c r="BP170">
        <f t="shared" si="54"/>
        <v>28</v>
      </c>
      <c r="BQ170">
        <f t="shared" si="55"/>
        <v>7.4147479058996393E-3</v>
      </c>
      <c r="BR170" cm="1">
        <f t="array" ref="BR170">_xlfn.IFS(BQ170&gt;0.9,0,BQ170&lt;0.01,0)</f>
        <v>0</v>
      </c>
      <c r="CA170">
        <v>43</v>
      </c>
      <c r="CB170">
        <v>9.25</v>
      </c>
      <c r="CC170">
        <f t="shared" si="56"/>
        <v>19.75</v>
      </c>
      <c r="CD170">
        <f t="shared" si="57"/>
        <v>9.1468588295749165E-3</v>
      </c>
      <c r="CE170" cm="1">
        <f t="array" ref="CE170">_xlfn.IFS(CD170&gt;0.9,0,CD170&lt;0.01,0)</f>
        <v>0</v>
      </c>
      <c r="CN170">
        <v>43</v>
      </c>
      <c r="CO170">
        <v>96</v>
      </c>
      <c r="CP170">
        <f t="shared" si="58"/>
        <v>29</v>
      </c>
      <c r="CQ170">
        <f t="shared" si="59"/>
        <v>3.8059769118281707E-3</v>
      </c>
      <c r="CR170" cm="1">
        <f t="array" ref="CR170">_xlfn.IFS(CQ170&gt;0.9,0,CQ170&lt;0.01,0)</f>
        <v>0</v>
      </c>
      <c r="DA170">
        <v>43</v>
      </c>
      <c r="DB170">
        <v>98</v>
      </c>
      <c r="DC170">
        <f t="shared" si="60"/>
        <v>28.25</v>
      </c>
      <c r="DD170">
        <f t="shared" si="61"/>
        <v>-6.6733164440763984E-4</v>
      </c>
      <c r="DE170" cm="1">
        <f t="array" ref="DE170">_xlfn.IFS(DD170&gt;0.9,0,DD170&lt;0.01,0)</f>
        <v>0</v>
      </c>
      <c r="DN170">
        <v>43</v>
      </c>
      <c r="DO170">
        <v>99.75</v>
      </c>
      <c r="DP170">
        <f t="shared" si="62"/>
        <v>29.75</v>
      </c>
      <c r="DQ170">
        <f t="shared" si="63"/>
        <v>5.8508569133403283E-4</v>
      </c>
      <c r="DR170" cm="1">
        <f t="array" ref="DR170">_xlfn.IFS(DQ170&gt;0.9,0,DQ170&lt;0.01,0)</f>
        <v>0</v>
      </c>
    </row>
    <row r="171" spans="1:122" x14ac:dyDescent="0.4">
      <c r="A171">
        <v>43.25</v>
      </c>
      <c r="B171">
        <v>99.75</v>
      </c>
      <c r="C171">
        <f t="shared" si="44"/>
        <v>31.05</v>
      </c>
      <c r="D171">
        <f t="shared" si="45"/>
        <v>9.0722813777418534E-4</v>
      </c>
      <c r="E171" cm="1">
        <f t="array" ref="E171">_xlfn.IFS(D171&gt;0.9,0,D171&lt;0.01,0)</f>
        <v>0</v>
      </c>
      <c r="N171">
        <v>43.25</v>
      </c>
      <c r="O171">
        <v>8.25</v>
      </c>
      <c r="P171">
        <f t="shared" si="46"/>
        <v>21.25</v>
      </c>
      <c r="Q171">
        <f t="shared" si="47"/>
        <v>8.7141339001062731E-3</v>
      </c>
      <c r="R171" cm="1">
        <f t="array" ref="R171">_xlfn.IFS(Q171&gt;0.9,0,Q171&lt;0.01,0)</f>
        <v>0</v>
      </c>
      <c r="AA171">
        <v>42.25</v>
      </c>
      <c r="AB171">
        <v>26</v>
      </c>
      <c r="AC171">
        <f t="shared" si="48"/>
        <v>29.25</v>
      </c>
      <c r="AD171">
        <f t="shared" si="49"/>
        <v>9.7824835999542423E-4</v>
      </c>
      <c r="AE171" cm="1">
        <f t="array" ref="AE171">_xlfn.IFS(AD171&gt;0.9,0,AD171&lt;0.01,0)</f>
        <v>0</v>
      </c>
      <c r="AN171">
        <v>43.25</v>
      </c>
      <c r="AO171">
        <v>27</v>
      </c>
      <c r="AP171">
        <f t="shared" si="50"/>
        <v>33.75</v>
      </c>
      <c r="AQ171">
        <f t="shared" si="51"/>
        <v>3.243914570737327E-4</v>
      </c>
      <c r="AR171" cm="1">
        <f t="array" ref="AR171">_xlfn.IFS(AQ171&gt;0.9,0,AQ171&lt;0.01,0)</f>
        <v>0</v>
      </c>
      <c r="BA171">
        <v>43.25</v>
      </c>
      <c r="BB171">
        <v>7.75</v>
      </c>
      <c r="BC171">
        <f t="shared" si="52"/>
        <v>25.5</v>
      </c>
      <c r="BD171">
        <f t="shared" si="53"/>
        <v>8.8321005151561008E-3</v>
      </c>
      <c r="BE171" cm="1">
        <f t="array" ref="BE171">_xlfn.IFS(BD171&gt;0.9,0,BD171&lt;0.01,0)</f>
        <v>0</v>
      </c>
      <c r="BN171">
        <v>43.25</v>
      </c>
      <c r="BO171">
        <v>90</v>
      </c>
      <c r="BP171">
        <f t="shared" si="54"/>
        <v>28.25</v>
      </c>
      <c r="BQ171">
        <f t="shared" si="55"/>
        <v>7.4147479058996393E-3</v>
      </c>
      <c r="BR171" cm="1">
        <f t="array" ref="BR171">_xlfn.IFS(BQ171&gt;0.9,0,BQ171&lt;0.01,0)</f>
        <v>0</v>
      </c>
      <c r="CA171">
        <v>43.25</v>
      </c>
      <c r="CB171">
        <v>9.25</v>
      </c>
      <c r="CC171">
        <f t="shared" si="56"/>
        <v>20</v>
      </c>
      <c r="CD171">
        <f t="shared" si="57"/>
        <v>9.1468588295749165E-3</v>
      </c>
      <c r="CE171" cm="1">
        <f t="array" ref="CE171">_xlfn.IFS(CD171&gt;0.9,0,CD171&lt;0.01,0)</f>
        <v>0</v>
      </c>
      <c r="CN171">
        <v>43.25</v>
      </c>
      <c r="CO171">
        <v>96</v>
      </c>
      <c r="CP171">
        <f t="shared" si="58"/>
        <v>29.25</v>
      </c>
      <c r="CQ171">
        <f t="shared" si="59"/>
        <v>3.8059769118281707E-3</v>
      </c>
      <c r="CR171" cm="1">
        <f t="array" ref="CR171">_xlfn.IFS(CQ171&gt;0.9,0,CQ171&lt;0.01,0)</f>
        <v>0</v>
      </c>
      <c r="DA171">
        <v>43.25</v>
      </c>
      <c r="DB171">
        <v>98</v>
      </c>
      <c r="DC171">
        <f t="shared" si="60"/>
        <v>28.5</v>
      </c>
      <c r="DD171">
        <f t="shared" si="61"/>
        <v>-6.6733164440763984E-4</v>
      </c>
      <c r="DE171" cm="1">
        <f t="array" ref="DE171">_xlfn.IFS(DD171&gt;0.9,0,DD171&lt;0.01,0)</f>
        <v>0</v>
      </c>
      <c r="DN171">
        <v>43.25</v>
      </c>
      <c r="DO171">
        <v>100</v>
      </c>
      <c r="DP171">
        <f t="shared" si="62"/>
        <v>30</v>
      </c>
      <c r="DQ171">
        <f t="shared" si="63"/>
        <v>-2.0715196098585933E-3</v>
      </c>
      <c r="DR171" cm="1">
        <f t="array" ref="DR171">_xlfn.IFS(DQ171&gt;0.9,0,DQ171&lt;0.01,0)</f>
        <v>0</v>
      </c>
    </row>
    <row r="172" spans="1:122" x14ac:dyDescent="0.4">
      <c r="A172">
        <v>43.5</v>
      </c>
      <c r="B172">
        <v>99.75</v>
      </c>
      <c r="C172">
        <f t="shared" si="44"/>
        <v>31.3</v>
      </c>
      <c r="D172">
        <f t="shared" si="45"/>
        <v>9.0722813777418534E-4</v>
      </c>
      <c r="E172" cm="1">
        <f t="array" ref="E172">_xlfn.IFS(D172&gt;0.9,0,D172&lt;0.01,0)</f>
        <v>0</v>
      </c>
      <c r="N172">
        <v>43.5</v>
      </c>
      <c r="O172">
        <v>8.25</v>
      </c>
      <c r="P172">
        <f t="shared" si="46"/>
        <v>21.5</v>
      </c>
      <c r="Q172">
        <f t="shared" si="47"/>
        <v>8.7141339001062731E-3</v>
      </c>
      <c r="R172" cm="1">
        <f t="array" ref="R172">_xlfn.IFS(Q172&gt;0.9,0,Q172&lt;0.01,0)</f>
        <v>0</v>
      </c>
      <c r="AA172">
        <v>42.5</v>
      </c>
      <c r="AB172">
        <v>26</v>
      </c>
      <c r="AC172">
        <f t="shared" si="48"/>
        <v>29.5</v>
      </c>
      <c r="AD172">
        <f t="shared" si="49"/>
        <v>9.7824835999542423E-4</v>
      </c>
      <c r="AE172" cm="1">
        <f t="array" ref="AE172">_xlfn.IFS(AD172&gt;0.9,0,AD172&lt;0.01,0)</f>
        <v>0</v>
      </c>
      <c r="AN172">
        <v>43.5</v>
      </c>
      <c r="AO172">
        <v>27</v>
      </c>
      <c r="AP172">
        <f t="shared" si="50"/>
        <v>34</v>
      </c>
      <c r="AQ172">
        <f t="shared" si="51"/>
        <v>3.243914570737327E-4</v>
      </c>
      <c r="AR172" cm="1">
        <f t="array" ref="AR172">_xlfn.IFS(AQ172&gt;0.9,0,AQ172&lt;0.01,0)</f>
        <v>0</v>
      </c>
      <c r="BA172">
        <v>43.500999999999998</v>
      </c>
      <c r="BB172">
        <v>8</v>
      </c>
      <c r="BC172">
        <f t="shared" si="52"/>
        <v>25.750999999999998</v>
      </c>
      <c r="BD172">
        <f t="shared" si="53"/>
        <v>1.1522338028393303E-2</v>
      </c>
      <c r="BE172" t="e" cm="1">
        <f t="array" ref="BE172">_xlfn.IFS(BD172&gt;0.9,0,BD172&lt;0.01,0)</f>
        <v>#N/A</v>
      </c>
      <c r="BN172">
        <v>43.5</v>
      </c>
      <c r="BO172">
        <v>90</v>
      </c>
      <c r="BP172">
        <f t="shared" si="54"/>
        <v>28.5</v>
      </c>
      <c r="BQ172">
        <f t="shared" si="55"/>
        <v>7.4147479058996393E-3</v>
      </c>
      <c r="BR172" cm="1">
        <f t="array" ref="BR172">_xlfn.IFS(BQ172&gt;0.9,0,BQ172&lt;0.01,0)</f>
        <v>0</v>
      </c>
      <c r="CA172">
        <v>43.5</v>
      </c>
      <c r="CB172">
        <v>9</v>
      </c>
      <c r="CC172">
        <f t="shared" si="56"/>
        <v>20.25</v>
      </c>
      <c r="CD172">
        <f t="shared" si="57"/>
        <v>6.1688117687830821E-3</v>
      </c>
      <c r="CE172" cm="1">
        <f t="array" ref="CE172">_xlfn.IFS(CD172&gt;0.9,0,CD172&lt;0.01,0)</f>
        <v>0</v>
      </c>
      <c r="CN172">
        <v>43.5</v>
      </c>
      <c r="CO172">
        <v>96</v>
      </c>
      <c r="CP172">
        <f t="shared" si="58"/>
        <v>29.5</v>
      </c>
      <c r="CQ172">
        <f t="shared" si="59"/>
        <v>3.8059769118281707E-3</v>
      </c>
      <c r="CR172" cm="1">
        <f t="array" ref="CR172">_xlfn.IFS(CQ172&gt;0.9,0,CQ172&lt;0.01,0)</f>
        <v>0</v>
      </c>
      <c r="DA172">
        <v>43.5</v>
      </c>
      <c r="DB172">
        <v>97.75</v>
      </c>
      <c r="DC172">
        <f t="shared" si="60"/>
        <v>28.75</v>
      </c>
      <c r="DD172">
        <f t="shared" si="61"/>
        <v>2.1449945713099623E-3</v>
      </c>
      <c r="DE172" cm="1">
        <f t="array" ref="DE172">_xlfn.IFS(DD172&gt;0.9,0,DD172&lt;0.01,0)</f>
        <v>0</v>
      </c>
      <c r="DN172">
        <v>43.5</v>
      </c>
      <c r="DO172">
        <v>100</v>
      </c>
      <c r="DP172">
        <f t="shared" si="62"/>
        <v>30.25</v>
      </c>
      <c r="DQ172">
        <f t="shared" si="63"/>
        <v>-2.0715196098585933E-3</v>
      </c>
      <c r="DR172" cm="1">
        <f t="array" ref="DR172">_xlfn.IFS(DQ172&gt;0.9,0,DQ172&lt;0.01,0)</f>
        <v>0</v>
      </c>
    </row>
    <row r="173" spans="1:122" x14ac:dyDescent="0.4">
      <c r="A173">
        <v>43.75</v>
      </c>
      <c r="B173">
        <v>99.75</v>
      </c>
      <c r="C173">
        <f t="shared" si="44"/>
        <v>31.55</v>
      </c>
      <c r="D173">
        <f t="shared" si="45"/>
        <v>9.0722813777418534E-4</v>
      </c>
      <c r="E173" cm="1">
        <f t="array" ref="E173">_xlfn.IFS(D173&gt;0.9,0,D173&lt;0.01,0)</f>
        <v>0</v>
      </c>
      <c r="N173">
        <v>43.75</v>
      </c>
      <c r="O173">
        <v>8.5</v>
      </c>
      <c r="P173">
        <f t="shared" si="46"/>
        <v>21.75</v>
      </c>
      <c r="Q173">
        <f t="shared" si="47"/>
        <v>1.1358422807724727E-2</v>
      </c>
      <c r="R173" t="e" cm="1">
        <f t="array" ref="R173">_xlfn.IFS(Q173&gt;0.9,0,Q173&lt;0.01,0)</f>
        <v>#N/A</v>
      </c>
      <c r="AA173">
        <v>42.75</v>
      </c>
      <c r="AB173">
        <v>26</v>
      </c>
      <c r="AC173">
        <f t="shared" si="48"/>
        <v>29.75</v>
      </c>
      <c r="AD173">
        <f t="shared" si="49"/>
        <v>9.7824835999542423E-4</v>
      </c>
      <c r="AE173" cm="1">
        <f t="array" ref="AE173">_xlfn.IFS(AD173&gt;0.9,0,AD173&lt;0.01,0)</f>
        <v>0</v>
      </c>
      <c r="AN173">
        <v>43.75</v>
      </c>
      <c r="AO173">
        <v>27</v>
      </c>
      <c r="AP173">
        <f t="shared" si="50"/>
        <v>34.25</v>
      </c>
      <c r="AQ173">
        <f t="shared" si="51"/>
        <v>3.243914570737327E-4</v>
      </c>
      <c r="AR173" cm="1">
        <f t="array" ref="AR173">_xlfn.IFS(AQ173&gt;0.9,0,AQ173&lt;0.01,0)</f>
        <v>0</v>
      </c>
      <c r="BA173">
        <v>43.75</v>
      </c>
      <c r="BB173">
        <v>7.75</v>
      </c>
      <c r="BC173">
        <f t="shared" si="52"/>
        <v>26</v>
      </c>
      <c r="BD173">
        <f t="shared" si="53"/>
        <v>8.8321005151561008E-3</v>
      </c>
      <c r="BE173" cm="1">
        <f t="array" ref="BE173">_xlfn.IFS(BD173&gt;0.9,0,BD173&lt;0.01,0)</f>
        <v>0</v>
      </c>
      <c r="BN173">
        <v>43.75</v>
      </c>
      <c r="BO173">
        <v>90</v>
      </c>
      <c r="BP173">
        <f t="shared" si="54"/>
        <v>28.75</v>
      </c>
      <c r="BQ173">
        <f t="shared" si="55"/>
        <v>7.4147479058996393E-3</v>
      </c>
      <c r="BR173" cm="1">
        <f t="array" ref="BR173">_xlfn.IFS(BQ173&gt;0.9,0,BQ173&lt;0.01,0)</f>
        <v>0</v>
      </c>
      <c r="CA173">
        <v>43.75</v>
      </c>
      <c r="CB173">
        <v>9</v>
      </c>
      <c r="CC173">
        <f t="shared" si="56"/>
        <v>20.5</v>
      </c>
      <c r="CD173">
        <f t="shared" si="57"/>
        <v>6.1688117687830821E-3</v>
      </c>
      <c r="CE173" cm="1">
        <f t="array" ref="CE173">_xlfn.IFS(CD173&gt;0.9,0,CD173&lt;0.01,0)</f>
        <v>0</v>
      </c>
      <c r="CN173">
        <v>43.75</v>
      </c>
      <c r="CO173">
        <v>96</v>
      </c>
      <c r="CP173">
        <f t="shared" si="58"/>
        <v>29.75</v>
      </c>
      <c r="CQ173">
        <f t="shared" si="59"/>
        <v>3.8059769118281707E-3</v>
      </c>
      <c r="CR173" cm="1">
        <f t="array" ref="CR173">_xlfn.IFS(CQ173&gt;0.9,0,CQ173&lt;0.01,0)</f>
        <v>0</v>
      </c>
      <c r="DA173">
        <v>43.75</v>
      </c>
      <c r="DB173">
        <v>98</v>
      </c>
      <c r="DC173">
        <f t="shared" si="60"/>
        <v>29</v>
      </c>
      <c r="DD173">
        <f t="shared" si="61"/>
        <v>-6.6733164440763984E-4</v>
      </c>
      <c r="DE173" cm="1">
        <f t="array" ref="DE173">_xlfn.IFS(DD173&gt;0.9,0,DD173&lt;0.01,0)</f>
        <v>0</v>
      </c>
      <c r="DN173">
        <v>43.75</v>
      </c>
      <c r="DO173">
        <v>99.75</v>
      </c>
      <c r="DP173">
        <f t="shared" si="62"/>
        <v>30.5</v>
      </c>
      <c r="DQ173">
        <f t="shared" si="63"/>
        <v>5.8508569133403283E-4</v>
      </c>
      <c r="DR173" cm="1">
        <f t="array" ref="DR173">_xlfn.IFS(DQ173&gt;0.9,0,DQ173&lt;0.01,0)</f>
        <v>0</v>
      </c>
    </row>
    <row r="174" spans="1:122" x14ac:dyDescent="0.4">
      <c r="A174">
        <v>44</v>
      </c>
      <c r="B174">
        <v>99.75</v>
      </c>
      <c r="C174">
        <f t="shared" si="44"/>
        <v>31.8</v>
      </c>
      <c r="D174">
        <f t="shared" si="45"/>
        <v>9.0722813777418534E-4</v>
      </c>
      <c r="E174" cm="1">
        <f t="array" ref="E174">_xlfn.IFS(D174&gt;0.9,0,D174&lt;0.01,0)</f>
        <v>0</v>
      </c>
      <c r="N174">
        <v>44</v>
      </c>
      <c r="O174">
        <v>8.25</v>
      </c>
      <c r="P174">
        <f t="shared" si="46"/>
        <v>22</v>
      </c>
      <c r="Q174">
        <f t="shared" si="47"/>
        <v>8.7141339001062731E-3</v>
      </c>
      <c r="R174" cm="1">
        <f t="array" ref="R174">_xlfn.IFS(Q174&gt;0.9,0,Q174&lt;0.01,0)</f>
        <v>0</v>
      </c>
      <c r="AA174">
        <v>43</v>
      </c>
      <c r="AB174">
        <v>26.25</v>
      </c>
      <c r="AC174">
        <f t="shared" si="48"/>
        <v>30</v>
      </c>
      <c r="AD174">
        <f t="shared" si="49"/>
        <v>-1.2228104499942426E-2</v>
      </c>
      <c r="AE174" cm="1">
        <f t="array" ref="AE174">_xlfn.IFS(AD174&gt;0.9,0,AD174&lt;0.01,0)</f>
        <v>0</v>
      </c>
      <c r="AN174">
        <v>44</v>
      </c>
      <c r="AO174">
        <v>27</v>
      </c>
      <c r="AP174">
        <f t="shared" si="50"/>
        <v>34.5</v>
      </c>
      <c r="AQ174">
        <f t="shared" si="51"/>
        <v>3.243914570737327E-4</v>
      </c>
      <c r="AR174" cm="1">
        <f t="array" ref="AR174">_xlfn.IFS(AQ174&gt;0.9,0,AQ174&lt;0.01,0)</f>
        <v>0</v>
      </c>
      <c r="BA174">
        <v>44</v>
      </c>
      <c r="BB174">
        <v>7.75</v>
      </c>
      <c r="BC174">
        <f t="shared" si="52"/>
        <v>26.25</v>
      </c>
      <c r="BD174">
        <f t="shared" si="53"/>
        <v>8.8321005151561008E-3</v>
      </c>
      <c r="BE174" cm="1">
        <f t="array" ref="BE174">_xlfn.IFS(BD174&gt;0.9,0,BD174&lt;0.01,0)</f>
        <v>0</v>
      </c>
      <c r="BN174">
        <v>44</v>
      </c>
      <c r="BO174">
        <v>90</v>
      </c>
      <c r="BP174">
        <f t="shared" si="54"/>
        <v>29</v>
      </c>
      <c r="BQ174">
        <f t="shared" si="55"/>
        <v>7.4147479058996393E-3</v>
      </c>
      <c r="BR174" cm="1">
        <f t="array" ref="BR174">_xlfn.IFS(BQ174&gt;0.9,0,BQ174&lt;0.01,0)</f>
        <v>0</v>
      </c>
      <c r="CA174">
        <v>44</v>
      </c>
      <c r="CB174">
        <v>9</v>
      </c>
      <c r="CC174">
        <f t="shared" si="56"/>
        <v>20.75</v>
      </c>
      <c r="CD174">
        <f t="shared" si="57"/>
        <v>6.1688117687830821E-3</v>
      </c>
      <c r="CE174" cm="1">
        <f t="array" ref="CE174">_xlfn.IFS(CD174&gt;0.9,0,CD174&lt;0.01,0)</f>
        <v>0</v>
      </c>
      <c r="CN174">
        <v>44</v>
      </c>
      <c r="CO174">
        <v>96</v>
      </c>
      <c r="CP174">
        <f t="shared" si="58"/>
        <v>30</v>
      </c>
      <c r="CQ174">
        <f t="shared" si="59"/>
        <v>3.8059769118281707E-3</v>
      </c>
      <c r="CR174" cm="1">
        <f t="array" ref="CR174">_xlfn.IFS(CQ174&gt;0.9,0,CQ174&lt;0.01,0)</f>
        <v>0</v>
      </c>
      <c r="DA174">
        <v>44</v>
      </c>
      <c r="DB174">
        <v>98</v>
      </c>
      <c r="DC174">
        <f t="shared" si="60"/>
        <v>29.25</v>
      </c>
      <c r="DD174">
        <f t="shared" si="61"/>
        <v>-6.6733164440763984E-4</v>
      </c>
      <c r="DE174" cm="1">
        <f t="array" ref="DE174">_xlfn.IFS(DD174&gt;0.9,0,DD174&lt;0.01,0)</f>
        <v>0</v>
      </c>
      <c r="DN174">
        <v>44</v>
      </c>
      <c r="DO174">
        <v>99.75</v>
      </c>
      <c r="DP174">
        <f t="shared" si="62"/>
        <v>30.75</v>
      </c>
      <c r="DQ174">
        <f t="shared" si="63"/>
        <v>5.8508569133403283E-4</v>
      </c>
      <c r="DR174" cm="1">
        <f t="array" ref="DR174">_xlfn.IFS(DQ174&gt;0.9,0,DQ174&lt;0.01,0)</f>
        <v>0</v>
      </c>
    </row>
    <row r="175" spans="1:122" x14ac:dyDescent="0.4">
      <c r="A175">
        <v>44.25</v>
      </c>
      <c r="B175">
        <v>99.75</v>
      </c>
      <c r="C175">
        <f t="shared" si="44"/>
        <v>32.049999999999997</v>
      </c>
      <c r="D175">
        <f t="shared" si="45"/>
        <v>9.0722813777418534E-4</v>
      </c>
      <c r="E175" cm="1">
        <f t="array" ref="E175">_xlfn.IFS(D175&gt;0.9,0,D175&lt;0.01,0)</f>
        <v>0</v>
      </c>
      <c r="N175">
        <v>44.25</v>
      </c>
      <c r="O175">
        <v>8.25</v>
      </c>
      <c r="P175">
        <f t="shared" si="46"/>
        <v>22.25</v>
      </c>
      <c r="Q175">
        <f t="shared" si="47"/>
        <v>8.7141339001062731E-3</v>
      </c>
      <c r="R175" cm="1">
        <f t="array" ref="R175">_xlfn.IFS(Q175&gt;0.9,0,Q175&lt;0.01,0)</f>
        <v>0</v>
      </c>
      <c r="AA175">
        <v>43.25</v>
      </c>
      <c r="AB175">
        <v>26.25</v>
      </c>
      <c r="AC175">
        <f t="shared" si="48"/>
        <v>30.25</v>
      </c>
      <c r="AD175">
        <f t="shared" si="49"/>
        <v>-1.2228104499942426E-2</v>
      </c>
      <c r="AE175" cm="1">
        <f t="array" ref="AE175">_xlfn.IFS(AD175&gt;0.9,0,AD175&lt;0.01,0)</f>
        <v>0</v>
      </c>
      <c r="AN175">
        <v>44.25</v>
      </c>
      <c r="AO175">
        <v>27</v>
      </c>
      <c r="AP175">
        <f t="shared" si="50"/>
        <v>34.75</v>
      </c>
      <c r="AQ175">
        <f t="shared" si="51"/>
        <v>3.243914570737327E-4</v>
      </c>
      <c r="AR175" cm="1">
        <f t="array" ref="AR175">_xlfn.IFS(AQ175&gt;0.9,0,AQ175&lt;0.01,0)</f>
        <v>0</v>
      </c>
      <c r="BA175">
        <v>44.25</v>
      </c>
      <c r="BB175">
        <v>7.75</v>
      </c>
      <c r="BC175">
        <f t="shared" si="52"/>
        <v>26.5</v>
      </c>
      <c r="BD175">
        <f t="shared" si="53"/>
        <v>8.8321005151561008E-3</v>
      </c>
      <c r="BE175" cm="1">
        <f t="array" ref="BE175">_xlfn.IFS(BD175&gt;0.9,0,BD175&lt;0.01,0)</f>
        <v>0</v>
      </c>
      <c r="BN175">
        <v>44.25</v>
      </c>
      <c r="BO175">
        <v>90</v>
      </c>
      <c r="BP175">
        <f t="shared" si="54"/>
        <v>29.25</v>
      </c>
      <c r="BQ175">
        <f t="shared" si="55"/>
        <v>7.4147479058996393E-3</v>
      </c>
      <c r="BR175" cm="1">
        <f t="array" ref="BR175">_xlfn.IFS(BQ175&gt;0.9,0,BQ175&lt;0.01,0)</f>
        <v>0</v>
      </c>
      <c r="CA175">
        <v>44.25</v>
      </c>
      <c r="CB175">
        <v>9</v>
      </c>
      <c r="CC175">
        <f t="shared" si="56"/>
        <v>21</v>
      </c>
      <c r="CD175">
        <f t="shared" si="57"/>
        <v>6.1688117687830821E-3</v>
      </c>
      <c r="CE175" cm="1">
        <f t="array" ref="CE175">_xlfn.IFS(CD175&gt;0.9,0,CD175&lt;0.01,0)</f>
        <v>0</v>
      </c>
      <c r="CN175">
        <v>44.25</v>
      </c>
      <c r="CO175">
        <v>96</v>
      </c>
      <c r="CP175">
        <f t="shared" si="58"/>
        <v>30.25</v>
      </c>
      <c r="CQ175">
        <f t="shared" si="59"/>
        <v>3.8059769118281707E-3</v>
      </c>
      <c r="CR175" cm="1">
        <f t="array" ref="CR175">_xlfn.IFS(CQ175&gt;0.9,0,CQ175&lt;0.01,0)</f>
        <v>0</v>
      </c>
      <c r="DA175">
        <v>44.25</v>
      </c>
      <c r="DB175">
        <v>98</v>
      </c>
      <c r="DC175">
        <f t="shared" si="60"/>
        <v>29.5</v>
      </c>
      <c r="DD175">
        <f t="shared" si="61"/>
        <v>-6.6733164440763984E-4</v>
      </c>
      <c r="DE175" cm="1">
        <f t="array" ref="DE175">_xlfn.IFS(DD175&gt;0.9,0,DD175&lt;0.01,0)</f>
        <v>0</v>
      </c>
      <c r="DN175">
        <v>44.25</v>
      </c>
      <c r="DO175">
        <v>99.75</v>
      </c>
      <c r="DP175">
        <f t="shared" si="62"/>
        <v>31</v>
      </c>
      <c r="DQ175">
        <f t="shared" si="63"/>
        <v>5.8508569133403283E-4</v>
      </c>
      <c r="DR175" cm="1">
        <f t="array" ref="DR175">_xlfn.IFS(DQ175&gt;0.9,0,DQ175&lt;0.01,0)</f>
        <v>0</v>
      </c>
    </row>
    <row r="176" spans="1:122" x14ac:dyDescent="0.4">
      <c r="A176">
        <v>44.5</v>
      </c>
      <c r="B176">
        <v>99.75</v>
      </c>
      <c r="C176">
        <f t="shared" si="44"/>
        <v>32.299999999999997</v>
      </c>
      <c r="D176">
        <f t="shared" si="45"/>
        <v>9.0722813777418534E-4</v>
      </c>
      <c r="E176" cm="1">
        <f t="array" ref="E176">_xlfn.IFS(D176&gt;0.9,0,D176&lt;0.01,0)</f>
        <v>0</v>
      </c>
      <c r="N176">
        <v>44.5</v>
      </c>
      <c r="O176">
        <v>8.25</v>
      </c>
      <c r="P176">
        <f t="shared" si="46"/>
        <v>22.5</v>
      </c>
      <c r="Q176">
        <f t="shared" si="47"/>
        <v>8.7141339001062731E-3</v>
      </c>
      <c r="R176" cm="1">
        <f t="array" ref="R176">_xlfn.IFS(Q176&gt;0.9,0,Q176&lt;0.01,0)</f>
        <v>0</v>
      </c>
      <c r="AA176">
        <v>43.5</v>
      </c>
      <c r="AB176">
        <v>26</v>
      </c>
      <c r="AC176">
        <f t="shared" si="48"/>
        <v>30.5</v>
      </c>
      <c r="AD176">
        <f t="shared" si="49"/>
        <v>9.7824835999542423E-4</v>
      </c>
      <c r="AE176" cm="1">
        <f t="array" ref="AE176">_xlfn.IFS(AD176&gt;0.9,0,AD176&lt;0.01,0)</f>
        <v>0</v>
      </c>
      <c r="AN176">
        <v>44.5</v>
      </c>
      <c r="AO176">
        <v>27</v>
      </c>
      <c r="AP176">
        <f t="shared" si="50"/>
        <v>35</v>
      </c>
      <c r="AQ176">
        <f t="shared" si="51"/>
        <v>3.243914570737327E-4</v>
      </c>
      <c r="AR176" cm="1">
        <f t="array" ref="AR176">_xlfn.IFS(AQ176&gt;0.9,0,AQ176&lt;0.01,0)</f>
        <v>0</v>
      </c>
      <c r="BA176">
        <v>44.5</v>
      </c>
      <c r="BB176">
        <v>7.75</v>
      </c>
      <c r="BC176">
        <f t="shared" si="52"/>
        <v>26.75</v>
      </c>
      <c r="BD176">
        <f t="shared" si="53"/>
        <v>8.8321005151561008E-3</v>
      </c>
      <c r="BE176" cm="1">
        <f t="array" ref="BE176">_xlfn.IFS(BD176&gt;0.9,0,BD176&lt;0.01,0)</f>
        <v>0</v>
      </c>
      <c r="BN176">
        <v>44.5</v>
      </c>
      <c r="BO176">
        <v>90</v>
      </c>
      <c r="BP176">
        <f t="shared" si="54"/>
        <v>29.5</v>
      </c>
      <c r="BQ176">
        <f t="shared" si="55"/>
        <v>7.4147479058996393E-3</v>
      </c>
      <c r="BR176" cm="1">
        <f t="array" ref="BR176">_xlfn.IFS(BQ176&gt;0.9,0,BQ176&lt;0.01,0)</f>
        <v>0</v>
      </c>
      <c r="CA176">
        <v>44.5</v>
      </c>
      <c r="CB176">
        <v>9</v>
      </c>
      <c r="CC176">
        <f t="shared" si="56"/>
        <v>21.25</v>
      </c>
      <c r="CD176">
        <f t="shared" si="57"/>
        <v>6.1688117687830821E-3</v>
      </c>
      <c r="CE176" cm="1">
        <f t="array" ref="CE176">_xlfn.IFS(CD176&gt;0.9,0,CD176&lt;0.01,0)</f>
        <v>0</v>
      </c>
      <c r="CN176">
        <v>44.5</v>
      </c>
      <c r="CO176">
        <v>96</v>
      </c>
      <c r="CP176">
        <f t="shared" si="58"/>
        <v>30.5</v>
      </c>
      <c r="CQ176">
        <f t="shared" si="59"/>
        <v>3.8059769118281707E-3</v>
      </c>
      <c r="CR176" cm="1">
        <f t="array" ref="CR176">_xlfn.IFS(CQ176&gt;0.9,0,CQ176&lt;0.01,0)</f>
        <v>0</v>
      </c>
      <c r="DA176">
        <v>44.5</v>
      </c>
      <c r="DB176">
        <v>98</v>
      </c>
      <c r="DC176">
        <f t="shared" si="60"/>
        <v>29.75</v>
      </c>
      <c r="DD176">
        <f t="shared" si="61"/>
        <v>-6.6733164440763984E-4</v>
      </c>
      <c r="DE176" cm="1">
        <f t="array" ref="DE176">_xlfn.IFS(DD176&gt;0.9,0,DD176&lt;0.01,0)</f>
        <v>0</v>
      </c>
      <c r="DN176">
        <v>44.5</v>
      </c>
      <c r="DO176">
        <v>99.75</v>
      </c>
      <c r="DP176">
        <f t="shared" si="62"/>
        <v>31.25</v>
      </c>
      <c r="DQ176">
        <f t="shared" si="63"/>
        <v>5.8508569133403283E-4</v>
      </c>
      <c r="DR176" cm="1">
        <f t="array" ref="DR176">_xlfn.IFS(DQ176&gt;0.9,0,DQ176&lt;0.01,0)</f>
        <v>0</v>
      </c>
    </row>
    <row r="177" spans="1:122" x14ac:dyDescent="0.4">
      <c r="A177">
        <v>44.75</v>
      </c>
      <c r="B177">
        <v>99.75</v>
      </c>
      <c r="C177">
        <f t="shared" si="44"/>
        <v>32.549999999999997</v>
      </c>
      <c r="D177">
        <f t="shared" si="45"/>
        <v>9.0722813777418534E-4</v>
      </c>
      <c r="E177" cm="1">
        <f t="array" ref="E177">_xlfn.IFS(D177&gt;0.9,0,D177&lt;0.01,0)</f>
        <v>0</v>
      </c>
      <c r="N177">
        <v>44.75</v>
      </c>
      <c r="O177">
        <v>8.25</v>
      </c>
      <c r="P177">
        <f t="shared" si="46"/>
        <v>22.75</v>
      </c>
      <c r="Q177">
        <f t="shared" si="47"/>
        <v>8.7141339001062731E-3</v>
      </c>
      <c r="R177" cm="1">
        <f t="array" ref="R177">_xlfn.IFS(Q177&gt;0.9,0,Q177&lt;0.01,0)</f>
        <v>0</v>
      </c>
      <c r="AA177">
        <v>43.75</v>
      </c>
      <c r="AB177">
        <v>26.25</v>
      </c>
      <c r="AC177">
        <f t="shared" si="48"/>
        <v>30.75</v>
      </c>
      <c r="AD177">
        <f t="shared" si="49"/>
        <v>-1.2228104499942426E-2</v>
      </c>
      <c r="AE177" cm="1">
        <f t="array" ref="AE177">_xlfn.IFS(AD177&gt;0.9,0,AD177&lt;0.01,0)</f>
        <v>0</v>
      </c>
      <c r="AN177">
        <v>44.75</v>
      </c>
      <c r="AO177">
        <v>27</v>
      </c>
      <c r="AP177">
        <f t="shared" si="50"/>
        <v>35.25</v>
      </c>
      <c r="AQ177">
        <f t="shared" si="51"/>
        <v>3.243914570737327E-4</v>
      </c>
      <c r="AR177" cm="1">
        <f t="array" ref="AR177">_xlfn.IFS(AQ177&gt;0.9,0,AQ177&lt;0.01,0)</f>
        <v>0</v>
      </c>
      <c r="BA177">
        <v>44.75</v>
      </c>
      <c r="BB177">
        <v>7.75</v>
      </c>
      <c r="BC177">
        <f t="shared" si="52"/>
        <v>27</v>
      </c>
      <c r="BD177">
        <f t="shared" si="53"/>
        <v>8.8321005151561008E-3</v>
      </c>
      <c r="BE177" cm="1">
        <f t="array" ref="BE177">_xlfn.IFS(BD177&gt;0.9,0,BD177&lt;0.01,0)</f>
        <v>0</v>
      </c>
      <c r="BN177">
        <v>44.75</v>
      </c>
      <c r="BO177">
        <v>90</v>
      </c>
      <c r="BP177">
        <f t="shared" si="54"/>
        <v>29.75</v>
      </c>
      <c r="BQ177">
        <f t="shared" si="55"/>
        <v>7.4147479058996393E-3</v>
      </c>
      <c r="BR177" cm="1">
        <f t="array" ref="BR177">_xlfn.IFS(BQ177&gt;0.9,0,BQ177&lt;0.01,0)</f>
        <v>0</v>
      </c>
      <c r="CA177">
        <v>44.75</v>
      </c>
      <c r="CB177">
        <v>8.75</v>
      </c>
      <c r="CC177">
        <f t="shared" si="56"/>
        <v>21.5</v>
      </c>
      <c r="CD177">
        <f t="shared" si="57"/>
        <v>3.1907647079912464E-3</v>
      </c>
      <c r="CE177" cm="1">
        <f t="array" ref="CE177">_xlfn.IFS(CD177&gt;0.9,0,CD177&lt;0.01,0)</f>
        <v>0</v>
      </c>
      <c r="CN177">
        <v>44.75</v>
      </c>
      <c r="CO177">
        <v>95.75</v>
      </c>
      <c r="CP177">
        <f t="shared" si="58"/>
        <v>30.75</v>
      </c>
      <c r="CQ177">
        <f t="shared" si="59"/>
        <v>6.5884978473664353E-3</v>
      </c>
      <c r="CR177" cm="1">
        <f t="array" ref="CR177">_xlfn.IFS(CQ177&gt;0.9,0,CQ177&lt;0.01,0)</f>
        <v>0</v>
      </c>
      <c r="DA177">
        <v>44.75</v>
      </c>
      <c r="DB177">
        <v>98</v>
      </c>
      <c r="DC177">
        <f t="shared" si="60"/>
        <v>30</v>
      </c>
      <c r="DD177">
        <f t="shared" si="61"/>
        <v>-6.6733164440763984E-4</v>
      </c>
      <c r="DE177" cm="1">
        <f t="array" ref="DE177">_xlfn.IFS(DD177&gt;0.9,0,DD177&lt;0.01,0)</f>
        <v>0</v>
      </c>
      <c r="DN177">
        <v>44.75</v>
      </c>
      <c r="DO177">
        <v>99.75</v>
      </c>
      <c r="DP177">
        <f t="shared" si="62"/>
        <v>31.5</v>
      </c>
      <c r="DQ177">
        <f t="shared" si="63"/>
        <v>5.8508569133403283E-4</v>
      </c>
      <c r="DR177" cm="1">
        <f t="array" ref="DR177">_xlfn.IFS(DQ177&gt;0.9,0,DQ177&lt;0.01,0)</f>
        <v>0</v>
      </c>
    </row>
    <row r="178" spans="1:122" x14ac:dyDescent="0.4">
      <c r="A178">
        <v>45</v>
      </c>
      <c r="B178">
        <v>99.75</v>
      </c>
      <c r="C178">
        <f t="shared" si="44"/>
        <v>32.799999999999997</v>
      </c>
      <c r="D178">
        <f t="shared" si="45"/>
        <v>9.0722813777418534E-4</v>
      </c>
      <c r="E178" cm="1">
        <f t="array" ref="E178">_xlfn.IFS(D178&gt;0.9,0,D178&lt;0.01,0)</f>
        <v>0</v>
      </c>
      <c r="N178">
        <v>45</v>
      </c>
      <c r="O178">
        <v>8.25</v>
      </c>
      <c r="P178">
        <f t="shared" si="46"/>
        <v>23</v>
      </c>
      <c r="Q178">
        <f t="shared" si="47"/>
        <v>8.7141339001062731E-3</v>
      </c>
      <c r="R178" cm="1">
        <f t="array" ref="R178">_xlfn.IFS(Q178&gt;0.9,0,Q178&lt;0.01,0)</f>
        <v>0</v>
      </c>
      <c r="AA178">
        <v>44</v>
      </c>
      <c r="AB178">
        <v>26.25</v>
      </c>
      <c r="AC178">
        <f t="shared" si="48"/>
        <v>31</v>
      </c>
      <c r="AD178">
        <f t="shared" si="49"/>
        <v>-1.2228104499942426E-2</v>
      </c>
      <c r="AE178" cm="1">
        <f t="array" ref="AE178">_xlfn.IFS(AD178&gt;0.9,0,AD178&lt;0.01,0)</f>
        <v>0</v>
      </c>
      <c r="AN178">
        <v>45</v>
      </c>
      <c r="AO178">
        <v>27</v>
      </c>
      <c r="AP178">
        <f t="shared" si="50"/>
        <v>35.5</v>
      </c>
      <c r="AQ178">
        <f t="shared" si="51"/>
        <v>3.243914570737327E-4</v>
      </c>
      <c r="AR178" cm="1">
        <f t="array" ref="AR178">_xlfn.IFS(AQ178&gt;0.9,0,AQ178&lt;0.01,0)</f>
        <v>0</v>
      </c>
      <c r="BA178">
        <v>45</v>
      </c>
      <c r="BB178">
        <v>7.75</v>
      </c>
      <c r="BC178">
        <f t="shared" si="52"/>
        <v>27.25</v>
      </c>
      <c r="BD178">
        <f t="shared" si="53"/>
        <v>8.8321005151561008E-3</v>
      </c>
      <c r="BE178" cm="1">
        <f t="array" ref="BE178">_xlfn.IFS(BD178&gt;0.9,0,BD178&lt;0.01,0)</f>
        <v>0</v>
      </c>
      <c r="BN178">
        <v>45</v>
      </c>
      <c r="BO178">
        <v>90</v>
      </c>
      <c r="BP178">
        <f t="shared" si="54"/>
        <v>30</v>
      </c>
      <c r="BQ178">
        <f t="shared" si="55"/>
        <v>7.4147479058996393E-3</v>
      </c>
      <c r="BR178" cm="1">
        <f t="array" ref="BR178">_xlfn.IFS(BQ178&gt;0.9,0,BQ178&lt;0.01,0)</f>
        <v>0</v>
      </c>
      <c r="CA178">
        <v>45</v>
      </c>
      <c r="CB178">
        <v>8.75</v>
      </c>
      <c r="CC178">
        <f t="shared" si="56"/>
        <v>21.75</v>
      </c>
      <c r="CD178">
        <f t="shared" si="57"/>
        <v>3.1907647079912464E-3</v>
      </c>
      <c r="CE178" cm="1">
        <f t="array" ref="CE178">_xlfn.IFS(CD178&gt;0.9,0,CD178&lt;0.01,0)</f>
        <v>0</v>
      </c>
      <c r="CN178">
        <v>45</v>
      </c>
      <c r="CO178">
        <v>96</v>
      </c>
      <c r="CP178">
        <f t="shared" si="58"/>
        <v>31</v>
      </c>
      <c r="CQ178">
        <f t="shared" si="59"/>
        <v>3.8059769118281707E-3</v>
      </c>
      <c r="CR178" cm="1">
        <f t="array" ref="CR178">_xlfn.IFS(CQ178&gt;0.9,0,CQ178&lt;0.01,0)</f>
        <v>0</v>
      </c>
      <c r="DA178">
        <v>45</v>
      </c>
      <c r="DB178">
        <v>98</v>
      </c>
      <c r="DC178">
        <f t="shared" si="60"/>
        <v>30.25</v>
      </c>
      <c r="DD178">
        <f t="shared" si="61"/>
        <v>-6.6733164440763984E-4</v>
      </c>
      <c r="DE178" cm="1">
        <f t="array" ref="DE178">_xlfn.IFS(DD178&gt;0.9,0,DD178&lt;0.01,0)</f>
        <v>0</v>
      </c>
      <c r="DN178">
        <v>45</v>
      </c>
      <c r="DO178">
        <v>99.75</v>
      </c>
      <c r="DP178">
        <f t="shared" si="62"/>
        <v>31.75</v>
      </c>
      <c r="DQ178">
        <f t="shared" si="63"/>
        <v>5.8508569133403283E-4</v>
      </c>
      <c r="DR178" cm="1">
        <f t="array" ref="DR178">_xlfn.IFS(DQ178&gt;0.9,0,DQ178&lt;0.01,0)</f>
        <v>0</v>
      </c>
    </row>
    <row r="179" spans="1:122" x14ac:dyDescent="0.4">
      <c r="A179">
        <v>45.25</v>
      </c>
      <c r="B179">
        <v>99.75</v>
      </c>
      <c r="C179">
        <f t="shared" si="44"/>
        <v>33.049999999999997</v>
      </c>
      <c r="D179">
        <f t="shared" si="45"/>
        <v>9.0722813777418534E-4</v>
      </c>
      <c r="E179" cm="1">
        <f t="array" ref="E179">_xlfn.IFS(D179&gt;0.9,0,D179&lt;0.01,0)</f>
        <v>0</v>
      </c>
      <c r="N179">
        <v>45.25</v>
      </c>
      <c r="O179">
        <v>8</v>
      </c>
      <c r="P179">
        <f t="shared" si="46"/>
        <v>23.25</v>
      </c>
      <c r="Q179">
        <f t="shared" si="47"/>
        <v>6.0698449924878189E-3</v>
      </c>
      <c r="R179" cm="1">
        <f t="array" ref="R179">_xlfn.IFS(Q179&gt;0.9,0,Q179&lt;0.01,0)</f>
        <v>0</v>
      </c>
      <c r="AA179">
        <v>44.25</v>
      </c>
      <c r="AB179">
        <v>26.25</v>
      </c>
      <c r="AC179">
        <f t="shared" si="48"/>
        <v>31.25</v>
      </c>
      <c r="AD179">
        <f t="shared" si="49"/>
        <v>-1.2228104499942426E-2</v>
      </c>
      <c r="AE179" cm="1">
        <f t="array" ref="AE179">_xlfn.IFS(AD179&gt;0.9,0,AD179&lt;0.01,0)</f>
        <v>0</v>
      </c>
      <c r="AN179">
        <v>45.25</v>
      </c>
      <c r="AO179">
        <v>27</v>
      </c>
      <c r="AP179">
        <f t="shared" si="50"/>
        <v>35.75</v>
      </c>
      <c r="AQ179">
        <f t="shared" si="51"/>
        <v>3.243914570737327E-4</v>
      </c>
      <c r="AR179" cm="1">
        <f t="array" ref="AR179">_xlfn.IFS(AQ179&gt;0.9,0,AQ179&lt;0.01,0)</f>
        <v>0</v>
      </c>
      <c r="BA179">
        <v>45.25</v>
      </c>
      <c r="BB179">
        <v>7.75</v>
      </c>
      <c r="BC179">
        <f t="shared" si="52"/>
        <v>27.5</v>
      </c>
      <c r="BD179">
        <f t="shared" si="53"/>
        <v>8.8321005151561008E-3</v>
      </c>
      <c r="BE179" cm="1">
        <f t="array" ref="BE179">_xlfn.IFS(BD179&gt;0.9,0,BD179&lt;0.01,0)</f>
        <v>0</v>
      </c>
      <c r="BN179">
        <v>45.25</v>
      </c>
      <c r="BO179">
        <v>90</v>
      </c>
      <c r="BP179">
        <f t="shared" si="54"/>
        <v>30.25</v>
      </c>
      <c r="BQ179">
        <f t="shared" si="55"/>
        <v>7.4147479058996393E-3</v>
      </c>
      <c r="BR179" cm="1">
        <f t="array" ref="BR179">_xlfn.IFS(BQ179&gt;0.9,0,BQ179&lt;0.01,0)</f>
        <v>0</v>
      </c>
      <c r="CA179">
        <v>45.25</v>
      </c>
      <c r="CB179">
        <v>8.75</v>
      </c>
      <c r="CC179">
        <f t="shared" si="56"/>
        <v>22</v>
      </c>
      <c r="CD179">
        <f t="shared" si="57"/>
        <v>3.1907647079912464E-3</v>
      </c>
      <c r="CE179" cm="1">
        <f t="array" ref="CE179">_xlfn.IFS(CD179&gt;0.9,0,CD179&lt;0.01,0)</f>
        <v>0</v>
      </c>
      <c r="CN179">
        <v>45.25</v>
      </c>
      <c r="CO179">
        <v>96.25</v>
      </c>
      <c r="CP179">
        <f t="shared" si="58"/>
        <v>31.25</v>
      </c>
      <c r="CQ179">
        <f t="shared" si="59"/>
        <v>1.0234559762899056E-3</v>
      </c>
      <c r="CR179" cm="1">
        <f t="array" ref="CR179">_xlfn.IFS(CQ179&gt;0.9,0,CQ179&lt;0.01,0)</f>
        <v>0</v>
      </c>
      <c r="DA179">
        <v>45.25</v>
      </c>
      <c r="DB179">
        <v>98</v>
      </c>
      <c r="DC179">
        <f t="shared" si="60"/>
        <v>30.5</v>
      </c>
      <c r="DD179">
        <f t="shared" si="61"/>
        <v>-6.6733164440763984E-4</v>
      </c>
      <c r="DE179" cm="1">
        <f t="array" ref="DE179">_xlfn.IFS(DD179&gt;0.9,0,DD179&lt;0.01,0)</f>
        <v>0</v>
      </c>
      <c r="DN179">
        <v>45.25</v>
      </c>
      <c r="DO179">
        <v>99.75</v>
      </c>
      <c r="DP179">
        <f t="shared" si="62"/>
        <v>32</v>
      </c>
      <c r="DQ179">
        <f t="shared" si="63"/>
        <v>5.8508569133403283E-4</v>
      </c>
      <c r="DR179" cm="1">
        <f t="array" ref="DR179">_xlfn.IFS(DQ179&gt;0.9,0,DQ179&lt;0.01,0)</f>
        <v>0</v>
      </c>
    </row>
    <row r="180" spans="1:122" x14ac:dyDescent="0.4">
      <c r="A180">
        <v>45.5</v>
      </c>
      <c r="B180">
        <v>99.75</v>
      </c>
      <c r="C180">
        <f t="shared" si="44"/>
        <v>33.299999999999997</v>
      </c>
      <c r="D180">
        <f t="shared" si="45"/>
        <v>9.0722813777418534E-4</v>
      </c>
      <c r="E180" cm="1">
        <f t="array" ref="E180">_xlfn.IFS(D180&gt;0.9,0,D180&lt;0.01,0)</f>
        <v>0</v>
      </c>
      <c r="N180">
        <v>45.5</v>
      </c>
      <c r="O180">
        <v>8</v>
      </c>
      <c r="P180">
        <f t="shared" si="46"/>
        <v>23.5</v>
      </c>
      <c r="Q180">
        <f t="shared" si="47"/>
        <v>6.0698449924878189E-3</v>
      </c>
      <c r="R180" cm="1">
        <f t="array" ref="R180">_xlfn.IFS(Q180&gt;0.9,0,Q180&lt;0.01,0)</f>
        <v>0</v>
      </c>
      <c r="AA180">
        <v>44.5</v>
      </c>
      <c r="AB180">
        <v>26.25</v>
      </c>
      <c r="AC180">
        <f t="shared" si="48"/>
        <v>31.5</v>
      </c>
      <c r="AD180">
        <f t="shared" si="49"/>
        <v>-1.2228104499942426E-2</v>
      </c>
      <c r="AE180" cm="1">
        <f t="array" ref="AE180">_xlfn.IFS(AD180&gt;0.9,0,AD180&lt;0.01,0)</f>
        <v>0</v>
      </c>
      <c r="AN180">
        <v>45.5</v>
      </c>
      <c r="AO180">
        <v>27</v>
      </c>
      <c r="AP180">
        <f t="shared" si="50"/>
        <v>36</v>
      </c>
      <c r="AQ180">
        <f t="shared" si="51"/>
        <v>3.243914570737327E-4</v>
      </c>
      <c r="AR180" cm="1">
        <f t="array" ref="AR180">_xlfn.IFS(AQ180&gt;0.9,0,AQ180&lt;0.01,0)</f>
        <v>0</v>
      </c>
      <c r="BA180">
        <v>45.5</v>
      </c>
      <c r="BB180">
        <v>7.5</v>
      </c>
      <c r="BC180">
        <f t="shared" si="52"/>
        <v>27.75</v>
      </c>
      <c r="BD180">
        <f t="shared" si="53"/>
        <v>6.1418630019188982E-3</v>
      </c>
      <c r="BE180" cm="1">
        <f t="array" ref="BE180">_xlfn.IFS(BD180&gt;0.9,0,BD180&lt;0.01,0)</f>
        <v>0</v>
      </c>
      <c r="BN180">
        <v>45.5</v>
      </c>
      <c r="BO180">
        <v>90</v>
      </c>
      <c r="BP180">
        <f t="shared" si="54"/>
        <v>30.5</v>
      </c>
      <c r="BQ180">
        <f t="shared" si="55"/>
        <v>7.4147479058996393E-3</v>
      </c>
      <c r="BR180" cm="1">
        <f t="array" ref="BR180">_xlfn.IFS(BQ180&gt;0.9,0,BQ180&lt;0.01,0)</f>
        <v>0</v>
      </c>
      <c r="CA180">
        <v>45.5</v>
      </c>
      <c r="CB180">
        <v>8.75</v>
      </c>
      <c r="CC180">
        <f t="shared" si="56"/>
        <v>22.25</v>
      </c>
      <c r="CD180">
        <f t="shared" si="57"/>
        <v>3.1907647079912464E-3</v>
      </c>
      <c r="CE180" cm="1">
        <f t="array" ref="CE180">_xlfn.IFS(CD180&gt;0.9,0,CD180&lt;0.01,0)</f>
        <v>0</v>
      </c>
      <c r="CN180">
        <v>45.5</v>
      </c>
      <c r="CO180">
        <v>96.25</v>
      </c>
      <c r="CP180">
        <f t="shared" si="58"/>
        <v>31.5</v>
      </c>
      <c r="CQ180">
        <f t="shared" si="59"/>
        <v>1.0234559762899056E-3</v>
      </c>
      <c r="CR180" cm="1">
        <f t="array" ref="CR180">_xlfn.IFS(CQ180&gt;0.9,0,CQ180&lt;0.01,0)</f>
        <v>0</v>
      </c>
      <c r="DA180">
        <v>45.5</v>
      </c>
      <c r="DB180">
        <v>98</v>
      </c>
      <c r="DC180">
        <f t="shared" si="60"/>
        <v>30.75</v>
      </c>
      <c r="DD180">
        <f t="shared" si="61"/>
        <v>-6.6733164440763984E-4</v>
      </c>
      <c r="DE180" cm="1">
        <f t="array" ref="DE180">_xlfn.IFS(DD180&gt;0.9,0,DD180&lt;0.01,0)</f>
        <v>0</v>
      </c>
      <c r="DN180">
        <v>45.5</v>
      </c>
      <c r="DO180">
        <v>99.75</v>
      </c>
      <c r="DP180">
        <f t="shared" si="62"/>
        <v>32.25</v>
      </c>
      <c r="DQ180">
        <f t="shared" si="63"/>
        <v>5.8508569133403283E-4</v>
      </c>
      <c r="DR180" cm="1">
        <f t="array" ref="DR180">_xlfn.IFS(DQ180&gt;0.9,0,DQ180&lt;0.01,0)</f>
        <v>0</v>
      </c>
    </row>
    <row r="181" spans="1:122" x14ac:dyDescent="0.4">
      <c r="A181">
        <v>45.75</v>
      </c>
      <c r="B181">
        <v>99.75</v>
      </c>
      <c r="C181">
        <f t="shared" si="44"/>
        <v>33.549999999999997</v>
      </c>
      <c r="D181">
        <f t="shared" si="45"/>
        <v>9.0722813777418534E-4</v>
      </c>
      <c r="E181" cm="1">
        <f t="array" ref="E181">_xlfn.IFS(D181&gt;0.9,0,D181&lt;0.01,0)</f>
        <v>0</v>
      </c>
      <c r="N181">
        <v>45.75</v>
      </c>
      <c r="O181">
        <v>8</v>
      </c>
      <c r="P181">
        <f t="shared" si="46"/>
        <v>23.75</v>
      </c>
      <c r="Q181">
        <f t="shared" si="47"/>
        <v>6.0698449924878189E-3</v>
      </c>
      <c r="R181" cm="1">
        <f t="array" ref="R181">_xlfn.IFS(Q181&gt;0.9,0,Q181&lt;0.01,0)</f>
        <v>0</v>
      </c>
      <c r="AA181">
        <v>44.75</v>
      </c>
      <c r="AB181">
        <v>26.25</v>
      </c>
      <c r="AC181">
        <f t="shared" si="48"/>
        <v>31.75</v>
      </c>
      <c r="AD181">
        <f t="shared" si="49"/>
        <v>-1.2228104499942426E-2</v>
      </c>
      <c r="AE181" cm="1">
        <f t="array" ref="AE181">_xlfn.IFS(AD181&gt;0.9,0,AD181&lt;0.01,0)</f>
        <v>0</v>
      </c>
      <c r="AN181">
        <v>45.75</v>
      </c>
      <c r="AO181">
        <v>27</v>
      </c>
      <c r="AP181">
        <f t="shared" si="50"/>
        <v>36.25</v>
      </c>
      <c r="AQ181">
        <f t="shared" si="51"/>
        <v>3.243914570737327E-4</v>
      </c>
      <c r="AR181" cm="1">
        <f t="array" ref="AR181">_xlfn.IFS(AQ181&gt;0.9,0,AQ181&lt;0.01,0)</f>
        <v>0</v>
      </c>
      <c r="BA181">
        <v>45.75</v>
      </c>
      <c r="BB181">
        <v>7.75</v>
      </c>
      <c r="BC181">
        <f t="shared" si="52"/>
        <v>28</v>
      </c>
      <c r="BD181">
        <f t="shared" si="53"/>
        <v>8.8321005151561008E-3</v>
      </c>
      <c r="BE181" cm="1">
        <f t="array" ref="BE181">_xlfn.IFS(BD181&gt;0.9,0,BD181&lt;0.01,0)</f>
        <v>0</v>
      </c>
      <c r="BN181">
        <v>45.75</v>
      </c>
      <c r="BO181">
        <v>90</v>
      </c>
      <c r="BP181">
        <f t="shared" si="54"/>
        <v>30.75</v>
      </c>
      <c r="BQ181">
        <f t="shared" si="55"/>
        <v>7.4147479058996393E-3</v>
      </c>
      <c r="BR181" cm="1">
        <f t="array" ref="BR181">_xlfn.IFS(BQ181&gt;0.9,0,BQ181&lt;0.01,0)</f>
        <v>0</v>
      </c>
      <c r="CA181">
        <v>45.75</v>
      </c>
      <c r="CB181">
        <v>8.75</v>
      </c>
      <c r="CC181">
        <f t="shared" si="56"/>
        <v>22.5</v>
      </c>
      <c r="CD181">
        <f t="shared" si="57"/>
        <v>3.1907647079912464E-3</v>
      </c>
      <c r="CE181" cm="1">
        <f t="array" ref="CE181">_xlfn.IFS(CD181&gt;0.9,0,CD181&lt;0.01,0)</f>
        <v>0</v>
      </c>
      <c r="CN181">
        <v>45.75</v>
      </c>
      <c r="CO181">
        <v>96.5</v>
      </c>
      <c r="CP181">
        <f t="shared" si="58"/>
        <v>31.75</v>
      </c>
      <c r="CQ181">
        <f t="shared" si="59"/>
        <v>-1.7590649592483594E-3</v>
      </c>
      <c r="CR181" cm="1">
        <f t="array" ref="CR181">_xlfn.IFS(CQ181&gt;0.9,0,CQ181&lt;0.01,0)</f>
        <v>0</v>
      </c>
      <c r="DA181">
        <v>45.75</v>
      </c>
      <c r="DB181">
        <v>98</v>
      </c>
      <c r="DC181">
        <f t="shared" si="60"/>
        <v>31</v>
      </c>
      <c r="DD181">
        <f t="shared" si="61"/>
        <v>-6.6733164440763984E-4</v>
      </c>
      <c r="DE181" cm="1">
        <f t="array" ref="DE181">_xlfn.IFS(DD181&gt;0.9,0,DD181&lt;0.01,0)</f>
        <v>0</v>
      </c>
      <c r="DN181">
        <v>45.75</v>
      </c>
      <c r="DO181">
        <v>100</v>
      </c>
      <c r="DP181">
        <f t="shared" si="62"/>
        <v>32.5</v>
      </c>
      <c r="DQ181">
        <f t="shared" si="63"/>
        <v>-2.0715196098585933E-3</v>
      </c>
      <c r="DR181" cm="1">
        <f t="array" ref="DR181">_xlfn.IFS(DQ181&gt;0.9,0,DQ181&lt;0.01,0)</f>
        <v>0</v>
      </c>
    </row>
    <row r="182" spans="1:122" x14ac:dyDescent="0.4">
      <c r="A182">
        <v>46</v>
      </c>
      <c r="B182">
        <v>99.75</v>
      </c>
      <c r="C182">
        <f t="shared" si="44"/>
        <v>33.799999999999997</v>
      </c>
      <c r="D182">
        <f t="shared" si="45"/>
        <v>9.0722813777418534E-4</v>
      </c>
      <c r="E182" cm="1">
        <f t="array" ref="E182">_xlfn.IFS(D182&gt;0.9,0,D182&lt;0.01,0)</f>
        <v>0</v>
      </c>
      <c r="N182">
        <v>46</v>
      </c>
      <c r="O182">
        <v>8</v>
      </c>
      <c r="P182">
        <f t="shared" si="46"/>
        <v>24</v>
      </c>
      <c r="Q182">
        <f t="shared" si="47"/>
        <v>6.0698449924878189E-3</v>
      </c>
      <c r="R182" cm="1">
        <f t="array" ref="R182">_xlfn.IFS(Q182&gt;0.9,0,Q182&lt;0.01,0)</f>
        <v>0</v>
      </c>
      <c r="AA182">
        <v>45</v>
      </c>
      <c r="AB182">
        <v>26.25</v>
      </c>
      <c r="AC182">
        <f t="shared" si="48"/>
        <v>32</v>
      </c>
      <c r="AD182">
        <f t="shared" si="49"/>
        <v>-1.2228104499942426E-2</v>
      </c>
      <c r="AE182" cm="1">
        <f t="array" ref="AE182">_xlfn.IFS(AD182&gt;0.9,0,AD182&lt;0.01,0)</f>
        <v>0</v>
      </c>
      <c r="AN182">
        <v>46</v>
      </c>
      <c r="AO182">
        <v>27</v>
      </c>
      <c r="AP182">
        <f t="shared" si="50"/>
        <v>36.5</v>
      </c>
      <c r="AQ182">
        <f t="shared" si="51"/>
        <v>3.243914570737327E-4</v>
      </c>
      <c r="AR182" cm="1">
        <f t="array" ref="AR182">_xlfn.IFS(AQ182&gt;0.9,0,AQ182&lt;0.01,0)</f>
        <v>0</v>
      </c>
      <c r="BA182">
        <v>46</v>
      </c>
      <c r="BB182">
        <v>7.5</v>
      </c>
      <c r="BC182">
        <f t="shared" si="52"/>
        <v>28.25</v>
      </c>
      <c r="BD182">
        <f t="shared" si="53"/>
        <v>6.1418630019188982E-3</v>
      </c>
      <c r="BE182" cm="1">
        <f t="array" ref="BE182">_xlfn.IFS(BD182&gt;0.9,0,BD182&lt;0.01,0)</f>
        <v>0</v>
      </c>
      <c r="BN182">
        <v>46</v>
      </c>
      <c r="BO182">
        <v>90</v>
      </c>
      <c r="BP182">
        <f t="shared" si="54"/>
        <v>31</v>
      </c>
      <c r="BQ182">
        <f t="shared" si="55"/>
        <v>7.4147479058996393E-3</v>
      </c>
      <c r="BR182" cm="1">
        <f t="array" ref="BR182">_xlfn.IFS(BQ182&gt;0.9,0,BQ182&lt;0.01,0)</f>
        <v>0</v>
      </c>
      <c r="CA182">
        <v>46</v>
      </c>
      <c r="CB182">
        <v>8.75</v>
      </c>
      <c r="CC182">
        <f t="shared" si="56"/>
        <v>22.75</v>
      </c>
      <c r="CD182">
        <f t="shared" si="57"/>
        <v>3.1907647079912464E-3</v>
      </c>
      <c r="CE182" cm="1">
        <f t="array" ref="CE182">_xlfn.IFS(CD182&gt;0.9,0,CD182&lt;0.01,0)</f>
        <v>0</v>
      </c>
      <c r="CN182">
        <v>46</v>
      </c>
      <c r="CO182">
        <v>96.5</v>
      </c>
      <c r="CP182">
        <f t="shared" si="58"/>
        <v>32</v>
      </c>
      <c r="CQ182">
        <f t="shared" si="59"/>
        <v>-1.7590649592483594E-3</v>
      </c>
      <c r="CR182" cm="1">
        <f t="array" ref="CR182">_xlfn.IFS(CQ182&gt;0.9,0,CQ182&lt;0.01,0)</f>
        <v>0</v>
      </c>
      <c r="DA182">
        <v>46</v>
      </c>
      <c r="DB182">
        <v>98</v>
      </c>
      <c r="DC182">
        <f t="shared" si="60"/>
        <v>31.25</v>
      </c>
      <c r="DD182">
        <f t="shared" si="61"/>
        <v>-6.6733164440763984E-4</v>
      </c>
      <c r="DE182" cm="1">
        <f t="array" ref="DE182">_xlfn.IFS(DD182&gt;0.9,0,DD182&lt;0.01,0)</f>
        <v>0</v>
      </c>
      <c r="DN182">
        <v>46</v>
      </c>
      <c r="DO182">
        <v>100</v>
      </c>
      <c r="DP182">
        <f t="shared" si="62"/>
        <v>32.75</v>
      </c>
      <c r="DQ182">
        <f t="shared" si="63"/>
        <v>-2.0715196098585933E-3</v>
      </c>
      <c r="DR182" cm="1">
        <f t="array" ref="DR182">_xlfn.IFS(DQ182&gt;0.9,0,DQ182&lt;0.01,0)</f>
        <v>0</v>
      </c>
    </row>
    <row r="183" spans="1:122" x14ac:dyDescent="0.4">
      <c r="A183">
        <v>46.250999999999998</v>
      </c>
      <c r="B183">
        <v>99.75</v>
      </c>
      <c r="C183">
        <f t="shared" si="44"/>
        <v>34.051000000000002</v>
      </c>
      <c r="D183">
        <f t="shared" si="45"/>
        <v>9.0722813777418534E-4</v>
      </c>
      <c r="E183" cm="1">
        <f t="array" ref="E183">_xlfn.IFS(D183&gt;0.9,0,D183&lt;0.01,0)</f>
        <v>0</v>
      </c>
      <c r="N183">
        <v>46.250999999999998</v>
      </c>
      <c r="O183">
        <v>7.75</v>
      </c>
      <c r="P183">
        <f t="shared" si="46"/>
        <v>24.250999999999998</v>
      </c>
      <c r="Q183">
        <f t="shared" si="47"/>
        <v>3.4255560848693647E-3</v>
      </c>
      <c r="R183" cm="1">
        <f t="array" ref="R183">_xlfn.IFS(Q183&gt;0.9,0,Q183&lt;0.01,0)</f>
        <v>0</v>
      </c>
      <c r="AA183">
        <v>45.25</v>
      </c>
      <c r="AB183">
        <v>26.5</v>
      </c>
      <c r="AC183">
        <f t="shared" si="48"/>
        <v>32.25</v>
      </c>
      <c r="AD183">
        <f t="shared" si="49"/>
        <v>-2.5434457359880275E-2</v>
      </c>
      <c r="AE183" cm="1">
        <f t="array" ref="AE183">_xlfn.IFS(AD183&gt;0.9,0,AD183&lt;0.01,0)</f>
        <v>0</v>
      </c>
      <c r="AN183">
        <v>46.25</v>
      </c>
      <c r="AO183">
        <v>27</v>
      </c>
      <c r="AP183">
        <f t="shared" si="50"/>
        <v>36.75</v>
      </c>
      <c r="AQ183">
        <f t="shared" si="51"/>
        <v>3.243914570737327E-4</v>
      </c>
      <c r="AR183" cm="1">
        <f t="array" ref="AR183">_xlfn.IFS(AQ183&gt;0.9,0,AQ183&lt;0.01,0)</f>
        <v>0</v>
      </c>
      <c r="BA183">
        <v>46.25</v>
      </c>
      <c r="BB183">
        <v>7.5</v>
      </c>
      <c r="BC183">
        <f t="shared" si="52"/>
        <v>28.5</v>
      </c>
      <c r="BD183">
        <f t="shared" si="53"/>
        <v>6.1418630019188982E-3</v>
      </c>
      <c r="BE183" cm="1">
        <f t="array" ref="BE183">_xlfn.IFS(BD183&gt;0.9,0,BD183&lt;0.01,0)</f>
        <v>0</v>
      </c>
      <c r="BN183">
        <v>46.250999999999998</v>
      </c>
      <c r="BO183">
        <v>90</v>
      </c>
      <c r="BP183">
        <f t="shared" si="54"/>
        <v>31.250999999999998</v>
      </c>
      <c r="BQ183">
        <f t="shared" si="55"/>
        <v>7.4147479058996393E-3</v>
      </c>
      <c r="BR183" cm="1">
        <f t="array" ref="BR183">_xlfn.IFS(BQ183&gt;0.9,0,BQ183&lt;0.01,0)</f>
        <v>0</v>
      </c>
      <c r="CA183">
        <v>46.250999999999998</v>
      </c>
      <c r="CB183">
        <v>8.75</v>
      </c>
      <c r="CC183">
        <f t="shared" si="56"/>
        <v>23.000999999999998</v>
      </c>
      <c r="CD183">
        <f t="shared" si="57"/>
        <v>3.1907647079912464E-3</v>
      </c>
      <c r="CE183" cm="1">
        <f t="array" ref="CE183">_xlfn.IFS(CD183&gt;0.9,0,CD183&lt;0.01,0)</f>
        <v>0</v>
      </c>
      <c r="CN183">
        <v>46.250999999999998</v>
      </c>
      <c r="CO183">
        <v>96.5</v>
      </c>
      <c r="CP183">
        <f t="shared" si="58"/>
        <v>32.250999999999998</v>
      </c>
      <c r="CQ183">
        <f t="shared" si="59"/>
        <v>-1.7590649592483594E-3</v>
      </c>
      <c r="CR183" cm="1">
        <f t="array" ref="CR183">_xlfn.IFS(CQ183&gt;0.9,0,CQ183&lt;0.01,0)</f>
        <v>0</v>
      </c>
      <c r="DA183">
        <v>46.250999999999998</v>
      </c>
      <c r="DB183">
        <v>98</v>
      </c>
      <c r="DC183">
        <f t="shared" si="60"/>
        <v>31.500999999999998</v>
      </c>
      <c r="DD183">
        <f t="shared" si="61"/>
        <v>-6.6733164440763984E-4</v>
      </c>
      <c r="DE183" cm="1">
        <f t="array" ref="DE183">_xlfn.IFS(DD183&gt;0.9,0,DD183&lt;0.01,0)</f>
        <v>0</v>
      </c>
      <c r="DN183">
        <v>46.250999999999998</v>
      </c>
      <c r="DO183">
        <v>100</v>
      </c>
      <c r="DP183">
        <f t="shared" si="62"/>
        <v>33.000999999999998</v>
      </c>
      <c r="DQ183">
        <f t="shared" si="63"/>
        <v>-2.0715196098585933E-3</v>
      </c>
      <c r="DR183" cm="1">
        <f t="array" ref="DR183">_xlfn.IFS(DQ183&gt;0.9,0,DQ183&lt;0.01,0)</f>
        <v>0</v>
      </c>
    </row>
    <row r="184" spans="1:122" x14ac:dyDescent="0.4">
      <c r="A184">
        <v>46.5</v>
      </c>
      <c r="B184">
        <v>99.75</v>
      </c>
      <c r="C184">
        <f t="shared" si="44"/>
        <v>34.299999999999997</v>
      </c>
      <c r="D184">
        <f t="shared" si="45"/>
        <v>9.0722813777418534E-4</v>
      </c>
      <c r="E184" cm="1">
        <f t="array" ref="E184">_xlfn.IFS(D184&gt;0.9,0,D184&lt;0.01,0)</f>
        <v>0</v>
      </c>
      <c r="N184">
        <v>46.5</v>
      </c>
      <c r="O184">
        <v>8</v>
      </c>
      <c r="P184">
        <f t="shared" si="46"/>
        <v>24.5</v>
      </c>
      <c r="Q184">
        <f t="shared" si="47"/>
        <v>6.0698449924878189E-3</v>
      </c>
      <c r="R184" cm="1">
        <f t="array" ref="R184">_xlfn.IFS(Q184&gt;0.9,0,Q184&lt;0.01,0)</f>
        <v>0</v>
      </c>
      <c r="AA184">
        <v>45.5</v>
      </c>
      <c r="AB184">
        <v>26.25</v>
      </c>
      <c r="AC184">
        <f t="shared" si="48"/>
        <v>32.5</v>
      </c>
      <c r="AD184">
        <f t="shared" si="49"/>
        <v>-1.2228104499942426E-2</v>
      </c>
      <c r="AE184" cm="1">
        <f t="array" ref="AE184">_xlfn.IFS(AD184&gt;0.9,0,AD184&lt;0.01,0)</f>
        <v>0</v>
      </c>
      <c r="AN184">
        <v>46.5</v>
      </c>
      <c r="AO184">
        <v>27</v>
      </c>
      <c r="AP184">
        <f t="shared" si="50"/>
        <v>37</v>
      </c>
      <c r="AQ184">
        <f t="shared" si="51"/>
        <v>3.243914570737327E-4</v>
      </c>
      <c r="AR184" cm="1">
        <f t="array" ref="AR184">_xlfn.IFS(AQ184&gt;0.9,0,AQ184&lt;0.01,0)</f>
        <v>0</v>
      </c>
      <c r="BA184">
        <v>46.5</v>
      </c>
      <c r="BB184">
        <v>7.5</v>
      </c>
      <c r="BC184">
        <f t="shared" si="52"/>
        <v>28.75</v>
      </c>
      <c r="BD184">
        <f t="shared" si="53"/>
        <v>6.1418630019188982E-3</v>
      </c>
      <c r="BE184" cm="1">
        <f t="array" ref="BE184">_xlfn.IFS(BD184&gt;0.9,0,BD184&lt;0.01,0)</f>
        <v>0</v>
      </c>
      <c r="BN184">
        <v>46.5</v>
      </c>
      <c r="BO184">
        <v>90.25</v>
      </c>
      <c r="BP184">
        <f t="shared" si="54"/>
        <v>31.5</v>
      </c>
      <c r="BQ184">
        <f t="shared" si="55"/>
        <v>4.4394032048061553E-3</v>
      </c>
      <c r="BR184" cm="1">
        <f t="array" ref="BR184">_xlfn.IFS(BQ184&gt;0.9,0,BQ184&lt;0.01,0)</f>
        <v>0</v>
      </c>
      <c r="CA184">
        <v>46.5</v>
      </c>
      <c r="CB184">
        <v>8.75</v>
      </c>
      <c r="CC184">
        <f t="shared" si="56"/>
        <v>23.25</v>
      </c>
      <c r="CD184">
        <f t="shared" si="57"/>
        <v>3.1907647079912464E-3</v>
      </c>
      <c r="CE184" cm="1">
        <f t="array" ref="CE184">_xlfn.IFS(CD184&gt;0.9,0,CD184&lt;0.01,0)</f>
        <v>0</v>
      </c>
      <c r="CN184">
        <v>46.5</v>
      </c>
      <c r="CO184">
        <v>96.75</v>
      </c>
      <c r="CP184">
        <f t="shared" si="58"/>
        <v>32.5</v>
      </c>
      <c r="CQ184">
        <f t="shared" si="59"/>
        <v>-4.541585894786624E-3</v>
      </c>
      <c r="CR184" cm="1">
        <f t="array" ref="CR184">_xlfn.IFS(CQ184&gt;0.9,0,CQ184&lt;0.01,0)</f>
        <v>0</v>
      </c>
      <c r="DA184">
        <v>46.5</v>
      </c>
      <c r="DB184">
        <v>98</v>
      </c>
      <c r="DC184">
        <f t="shared" si="60"/>
        <v>31.75</v>
      </c>
      <c r="DD184">
        <f t="shared" si="61"/>
        <v>-6.6733164440763984E-4</v>
      </c>
      <c r="DE184" cm="1">
        <f t="array" ref="DE184">_xlfn.IFS(DD184&gt;0.9,0,DD184&lt;0.01,0)</f>
        <v>0</v>
      </c>
      <c r="DN184">
        <v>46.5</v>
      </c>
      <c r="DO184">
        <v>99.75</v>
      </c>
      <c r="DP184">
        <f t="shared" si="62"/>
        <v>33.25</v>
      </c>
      <c r="DQ184">
        <f t="shared" si="63"/>
        <v>5.8508569133403283E-4</v>
      </c>
      <c r="DR184" cm="1">
        <f t="array" ref="DR184">_xlfn.IFS(DQ184&gt;0.9,0,DQ184&lt;0.01,0)</f>
        <v>0</v>
      </c>
    </row>
    <row r="185" spans="1:122" x14ac:dyDescent="0.4">
      <c r="N185">
        <v>46.75</v>
      </c>
      <c r="O185">
        <v>8</v>
      </c>
      <c r="P185">
        <f t="shared" si="46"/>
        <v>24.75</v>
      </c>
      <c r="Q185">
        <f t="shared" si="47"/>
        <v>6.0698449924878189E-3</v>
      </c>
      <c r="R185" cm="1">
        <f t="array" ref="R185">_xlfn.IFS(Q185&gt;0.9,0,Q185&lt;0.01,0)</f>
        <v>0</v>
      </c>
      <c r="AA185">
        <v>45.75</v>
      </c>
      <c r="AB185">
        <v>26.25</v>
      </c>
      <c r="AC185">
        <f t="shared" si="48"/>
        <v>32.75</v>
      </c>
      <c r="AD185">
        <f t="shared" si="49"/>
        <v>-1.2228104499942426E-2</v>
      </c>
      <c r="AE185" cm="1">
        <f t="array" ref="AE185">_xlfn.IFS(AD185&gt;0.9,0,AD185&lt;0.01,0)</f>
        <v>0</v>
      </c>
      <c r="AN185">
        <v>46.75</v>
      </c>
      <c r="AO185">
        <v>27</v>
      </c>
      <c r="AP185">
        <f t="shared" si="50"/>
        <v>37.25</v>
      </c>
      <c r="AQ185">
        <f t="shared" si="51"/>
        <v>3.243914570737327E-4</v>
      </c>
      <c r="AR185" cm="1">
        <f t="array" ref="AR185">_xlfn.IFS(AQ185&gt;0.9,0,AQ185&lt;0.01,0)</f>
        <v>0</v>
      </c>
      <c r="BA185">
        <v>46.75</v>
      </c>
      <c r="BB185">
        <v>7.5</v>
      </c>
      <c r="BC185">
        <f t="shared" si="52"/>
        <v>29</v>
      </c>
      <c r="BD185">
        <f t="shared" si="53"/>
        <v>6.1418630019188982E-3</v>
      </c>
      <c r="BE185" cm="1">
        <f t="array" ref="BE185">_xlfn.IFS(BD185&gt;0.9,0,BD185&lt;0.01,0)</f>
        <v>0</v>
      </c>
      <c r="BN185">
        <v>46.75</v>
      </c>
      <c r="BO185">
        <v>90.25</v>
      </c>
      <c r="BP185">
        <f t="shared" si="54"/>
        <v>31.75</v>
      </c>
      <c r="BQ185">
        <f t="shared" si="55"/>
        <v>4.4394032048061553E-3</v>
      </c>
      <c r="BR185" cm="1">
        <f t="array" ref="BR185">_xlfn.IFS(BQ185&gt;0.9,0,BQ185&lt;0.01,0)</f>
        <v>0</v>
      </c>
      <c r="CA185">
        <v>46.75</v>
      </c>
      <c r="CB185">
        <v>8.5</v>
      </c>
      <c r="CC185">
        <f t="shared" si="56"/>
        <v>23.5</v>
      </c>
      <c r="CD185">
        <f t="shared" si="57"/>
        <v>2.1271764719941078E-4</v>
      </c>
      <c r="CE185" cm="1">
        <f t="array" ref="CE185">_xlfn.IFS(CD185&gt;0.9,0,CD185&lt;0.01,0)</f>
        <v>0</v>
      </c>
      <c r="CN185">
        <v>46.75</v>
      </c>
      <c r="CO185">
        <v>96.75</v>
      </c>
      <c r="CP185">
        <f t="shared" si="58"/>
        <v>32.75</v>
      </c>
      <c r="CQ185">
        <f t="shared" si="59"/>
        <v>-4.541585894786624E-3</v>
      </c>
      <c r="CR185" cm="1">
        <f t="array" ref="CR185">_xlfn.IFS(CQ185&gt;0.9,0,CQ185&lt;0.01,0)</f>
        <v>0</v>
      </c>
      <c r="DA185">
        <v>46.75</v>
      </c>
      <c r="DB185">
        <v>98</v>
      </c>
      <c r="DC185">
        <f t="shared" si="60"/>
        <v>32</v>
      </c>
      <c r="DD185">
        <f t="shared" si="61"/>
        <v>-6.6733164440763984E-4</v>
      </c>
      <c r="DE185" cm="1">
        <f t="array" ref="DE185">_xlfn.IFS(DD185&gt;0.9,0,DD185&lt;0.01,0)</f>
        <v>0</v>
      </c>
      <c r="DN185">
        <v>46.75</v>
      </c>
      <c r="DO185">
        <v>99.75</v>
      </c>
      <c r="DP185">
        <f t="shared" si="62"/>
        <v>33.5</v>
      </c>
      <c r="DQ185">
        <f t="shared" si="63"/>
        <v>5.8508569133403283E-4</v>
      </c>
      <c r="DR185" cm="1">
        <f t="array" ref="DR185">_xlfn.IFS(DQ185&gt;0.9,0,DQ185&lt;0.01,0)</f>
        <v>0</v>
      </c>
    </row>
    <row r="186" spans="1:122" x14ac:dyDescent="0.4">
      <c r="N186">
        <v>47</v>
      </c>
      <c r="O186">
        <v>7.75</v>
      </c>
      <c r="P186">
        <f t="shared" si="46"/>
        <v>25</v>
      </c>
      <c r="Q186">
        <f t="shared" si="47"/>
        <v>3.4255560848693647E-3</v>
      </c>
      <c r="R186" cm="1">
        <f t="array" ref="R186">_xlfn.IFS(Q186&gt;0.9,0,Q186&lt;0.01,0)</f>
        <v>0</v>
      </c>
      <c r="AA186">
        <v>46</v>
      </c>
      <c r="AB186">
        <v>26.25</v>
      </c>
      <c r="AC186">
        <f t="shared" si="48"/>
        <v>33</v>
      </c>
      <c r="AD186">
        <f t="shared" si="49"/>
        <v>-1.2228104499942426E-2</v>
      </c>
      <c r="AE186" cm="1">
        <f t="array" ref="AE186">_xlfn.IFS(AD186&gt;0.9,0,AD186&lt;0.01,0)</f>
        <v>0</v>
      </c>
      <c r="AN186">
        <v>47</v>
      </c>
      <c r="AO186">
        <v>27</v>
      </c>
      <c r="AP186">
        <f t="shared" si="50"/>
        <v>37.5</v>
      </c>
      <c r="AQ186">
        <f t="shared" si="51"/>
        <v>3.243914570737327E-4</v>
      </c>
      <c r="AR186" cm="1">
        <f t="array" ref="AR186">_xlfn.IFS(AQ186&gt;0.9,0,AQ186&lt;0.01,0)</f>
        <v>0</v>
      </c>
      <c r="BA186">
        <v>47</v>
      </c>
      <c r="BB186">
        <v>7.5</v>
      </c>
      <c r="BC186">
        <f t="shared" si="52"/>
        <v>29.25</v>
      </c>
      <c r="BD186">
        <f t="shared" si="53"/>
        <v>6.1418630019188982E-3</v>
      </c>
      <c r="BE186" cm="1">
        <f t="array" ref="BE186">_xlfn.IFS(BD186&gt;0.9,0,BD186&lt;0.01,0)</f>
        <v>0</v>
      </c>
      <c r="BN186">
        <v>47</v>
      </c>
      <c r="BO186">
        <v>90.25</v>
      </c>
      <c r="BP186">
        <f t="shared" si="54"/>
        <v>32</v>
      </c>
      <c r="BQ186">
        <f t="shared" si="55"/>
        <v>4.4394032048061553E-3</v>
      </c>
      <c r="BR186" cm="1">
        <f t="array" ref="BR186">_xlfn.IFS(BQ186&gt;0.9,0,BQ186&lt;0.01,0)</f>
        <v>0</v>
      </c>
      <c r="CA186">
        <v>47</v>
      </c>
      <c r="CB186">
        <v>8.5</v>
      </c>
      <c r="CC186">
        <f t="shared" si="56"/>
        <v>23.75</v>
      </c>
      <c r="CD186">
        <f t="shared" si="57"/>
        <v>2.1271764719941078E-4</v>
      </c>
      <c r="CE186" cm="1">
        <f t="array" ref="CE186">_xlfn.IFS(CD186&gt;0.9,0,CD186&lt;0.01,0)</f>
        <v>0</v>
      </c>
      <c r="CN186">
        <v>47</v>
      </c>
      <c r="CO186">
        <v>96.75</v>
      </c>
      <c r="CP186">
        <f t="shared" si="58"/>
        <v>33</v>
      </c>
      <c r="CQ186">
        <f t="shared" si="59"/>
        <v>-4.541585894786624E-3</v>
      </c>
      <c r="CR186" cm="1">
        <f t="array" ref="CR186">_xlfn.IFS(CQ186&gt;0.9,0,CQ186&lt;0.01,0)</f>
        <v>0</v>
      </c>
      <c r="DA186">
        <v>47</v>
      </c>
      <c r="DB186">
        <v>98</v>
      </c>
      <c r="DC186">
        <f t="shared" si="60"/>
        <v>32.25</v>
      </c>
      <c r="DD186">
        <f t="shared" si="61"/>
        <v>-6.6733164440763984E-4</v>
      </c>
      <c r="DE186" cm="1">
        <f t="array" ref="DE186">_xlfn.IFS(DD186&gt;0.9,0,DD186&lt;0.01,0)</f>
        <v>0</v>
      </c>
      <c r="DN186">
        <v>47</v>
      </c>
      <c r="DO186">
        <v>100</v>
      </c>
      <c r="DP186">
        <f t="shared" si="62"/>
        <v>33.75</v>
      </c>
      <c r="DQ186">
        <f t="shared" si="63"/>
        <v>-2.0715196098585933E-3</v>
      </c>
      <c r="DR186" cm="1">
        <f t="array" ref="DR186">_xlfn.IFS(DQ186&gt;0.9,0,DQ186&lt;0.01,0)</f>
        <v>0</v>
      </c>
    </row>
    <row r="187" spans="1:122" x14ac:dyDescent="0.4">
      <c r="N187">
        <v>47.25</v>
      </c>
      <c r="O187">
        <v>7.75</v>
      </c>
      <c r="P187">
        <f t="shared" si="46"/>
        <v>25.25</v>
      </c>
      <c r="Q187">
        <f t="shared" si="47"/>
        <v>3.4255560848693647E-3</v>
      </c>
      <c r="R187" cm="1">
        <f t="array" ref="R187">_xlfn.IFS(Q187&gt;0.9,0,Q187&lt;0.01,0)</f>
        <v>0</v>
      </c>
      <c r="AA187">
        <v>46.25</v>
      </c>
      <c r="AB187">
        <v>26.25</v>
      </c>
      <c r="AC187">
        <f t="shared" si="48"/>
        <v>33.25</v>
      </c>
      <c r="AD187">
        <f t="shared" si="49"/>
        <v>-1.2228104499942426E-2</v>
      </c>
      <c r="AE187" cm="1">
        <f t="array" ref="AE187">_xlfn.IFS(AD187&gt;0.9,0,AD187&lt;0.01,0)</f>
        <v>0</v>
      </c>
      <c r="AN187">
        <v>47.25</v>
      </c>
      <c r="AO187">
        <v>27</v>
      </c>
      <c r="AP187">
        <f t="shared" si="50"/>
        <v>37.75</v>
      </c>
      <c r="AQ187">
        <f t="shared" si="51"/>
        <v>3.243914570737327E-4</v>
      </c>
      <c r="AR187" cm="1">
        <f t="array" ref="AR187">_xlfn.IFS(AQ187&gt;0.9,0,AQ187&lt;0.01,0)</f>
        <v>0</v>
      </c>
      <c r="BA187">
        <v>47.25</v>
      </c>
      <c r="BB187">
        <v>7.5</v>
      </c>
      <c r="BC187">
        <f t="shared" si="52"/>
        <v>29.5</v>
      </c>
      <c r="BD187">
        <f t="shared" si="53"/>
        <v>6.1418630019188982E-3</v>
      </c>
      <c r="BE187" cm="1">
        <f t="array" ref="BE187">_xlfn.IFS(BD187&gt;0.9,0,BD187&lt;0.01,0)</f>
        <v>0</v>
      </c>
      <c r="BN187">
        <v>47.25</v>
      </c>
      <c r="BO187">
        <v>90.25</v>
      </c>
      <c r="BP187">
        <f t="shared" si="54"/>
        <v>32.25</v>
      </c>
      <c r="BQ187">
        <f t="shared" si="55"/>
        <v>4.4394032048061553E-3</v>
      </c>
      <c r="BR187" cm="1">
        <f t="array" ref="BR187">_xlfn.IFS(BQ187&gt;0.9,0,BQ187&lt;0.01,0)</f>
        <v>0</v>
      </c>
      <c r="CA187">
        <v>47.25</v>
      </c>
      <c r="CB187">
        <v>8.5</v>
      </c>
      <c r="CC187">
        <f t="shared" si="56"/>
        <v>24</v>
      </c>
      <c r="CD187">
        <f t="shared" si="57"/>
        <v>2.1271764719941078E-4</v>
      </c>
      <c r="CE187" cm="1">
        <f t="array" ref="CE187">_xlfn.IFS(CD187&gt;0.9,0,CD187&lt;0.01,0)</f>
        <v>0</v>
      </c>
      <c r="CN187">
        <v>47.25</v>
      </c>
      <c r="CO187">
        <v>96.75</v>
      </c>
      <c r="CP187">
        <f t="shared" si="58"/>
        <v>33.25</v>
      </c>
      <c r="CQ187">
        <f t="shared" si="59"/>
        <v>-4.541585894786624E-3</v>
      </c>
      <c r="CR187" cm="1">
        <f t="array" ref="CR187">_xlfn.IFS(CQ187&gt;0.9,0,CQ187&lt;0.01,0)</f>
        <v>0</v>
      </c>
      <c r="DA187">
        <v>47.25</v>
      </c>
      <c r="DB187">
        <v>98.25</v>
      </c>
      <c r="DC187">
        <f t="shared" si="60"/>
        <v>32.5</v>
      </c>
      <c r="DD187">
        <f t="shared" si="61"/>
        <v>-3.479657860125242E-3</v>
      </c>
      <c r="DE187" cm="1">
        <f t="array" ref="DE187">_xlfn.IFS(DD187&gt;0.9,0,DD187&lt;0.01,0)</f>
        <v>0</v>
      </c>
      <c r="DN187">
        <v>47.25</v>
      </c>
      <c r="DO187">
        <v>99.75</v>
      </c>
      <c r="DP187">
        <f t="shared" si="62"/>
        <v>34</v>
      </c>
      <c r="DQ187">
        <f t="shared" si="63"/>
        <v>5.8508569133403283E-4</v>
      </c>
      <c r="DR187" cm="1">
        <f t="array" ref="DR187">_xlfn.IFS(DQ187&gt;0.9,0,DQ187&lt;0.01,0)</f>
        <v>0</v>
      </c>
    </row>
    <row r="188" spans="1:122" x14ac:dyDescent="0.4">
      <c r="N188">
        <v>47.5</v>
      </c>
      <c r="O188">
        <v>7.75</v>
      </c>
      <c r="P188">
        <f t="shared" si="46"/>
        <v>25.5</v>
      </c>
      <c r="Q188">
        <f t="shared" si="47"/>
        <v>3.4255560848693647E-3</v>
      </c>
      <c r="R188" cm="1">
        <f t="array" ref="R188">_xlfn.IFS(Q188&gt;0.9,0,Q188&lt;0.01,0)</f>
        <v>0</v>
      </c>
      <c r="AA188">
        <v>46.5</v>
      </c>
      <c r="AB188">
        <v>26.5</v>
      </c>
      <c r="AC188">
        <f t="shared" si="48"/>
        <v>33.5</v>
      </c>
      <c r="AD188">
        <f t="shared" si="49"/>
        <v>-2.5434457359880275E-2</v>
      </c>
      <c r="AE188" cm="1">
        <f t="array" ref="AE188">_xlfn.IFS(AD188&gt;0.9,0,AD188&lt;0.01,0)</f>
        <v>0</v>
      </c>
      <c r="AN188">
        <v>47.5</v>
      </c>
      <c r="AO188">
        <v>27</v>
      </c>
      <c r="AP188">
        <f t="shared" si="50"/>
        <v>38</v>
      </c>
      <c r="AQ188">
        <f t="shared" si="51"/>
        <v>3.243914570737327E-4</v>
      </c>
      <c r="AR188" cm="1">
        <f t="array" ref="AR188">_xlfn.IFS(AQ188&gt;0.9,0,AQ188&lt;0.01,0)</f>
        <v>0</v>
      </c>
      <c r="BA188">
        <v>47.5</v>
      </c>
      <c r="BB188">
        <v>7.5</v>
      </c>
      <c r="BC188">
        <f t="shared" si="52"/>
        <v>29.75</v>
      </c>
      <c r="BD188">
        <f t="shared" si="53"/>
        <v>6.1418630019188982E-3</v>
      </c>
      <c r="BE188" cm="1">
        <f t="array" ref="BE188">_xlfn.IFS(BD188&gt;0.9,0,BD188&lt;0.01,0)</f>
        <v>0</v>
      </c>
      <c r="BN188">
        <v>47.5</v>
      </c>
      <c r="BO188">
        <v>90.25</v>
      </c>
      <c r="BP188">
        <f t="shared" si="54"/>
        <v>32.5</v>
      </c>
      <c r="BQ188">
        <f t="shared" si="55"/>
        <v>4.4394032048061553E-3</v>
      </c>
      <c r="BR188" cm="1">
        <f t="array" ref="BR188">_xlfn.IFS(BQ188&gt;0.9,0,BQ188&lt;0.01,0)</f>
        <v>0</v>
      </c>
      <c r="CA188">
        <v>47.5</v>
      </c>
      <c r="CB188">
        <v>8.5</v>
      </c>
      <c r="CC188">
        <f t="shared" si="56"/>
        <v>24.25</v>
      </c>
      <c r="CD188">
        <f t="shared" si="57"/>
        <v>2.1271764719941078E-4</v>
      </c>
      <c r="CE188" cm="1">
        <f t="array" ref="CE188">_xlfn.IFS(CD188&gt;0.9,0,CD188&lt;0.01,0)</f>
        <v>0</v>
      </c>
      <c r="CN188">
        <v>47.5</v>
      </c>
      <c r="CO188">
        <v>97</v>
      </c>
      <c r="CP188">
        <f t="shared" si="58"/>
        <v>33.5</v>
      </c>
      <c r="CQ188">
        <f t="shared" si="59"/>
        <v>-7.3241068303248891E-3</v>
      </c>
      <c r="CR188" cm="1">
        <f t="array" ref="CR188">_xlfn.IFS(CQ188&gt;0.9,0,CQ188&lt;0.01,0)</f>
        <v>0</v>
      </c>
      <c r="DA188">
        <v>47.5</v>
      </c>
      <c r="DB188">
        <v>98</v>
      </c>
      <c r="DC188">
        <f t="shared" si="60"/>
        <v>32.75</v>
      </c>
      <c r="DD188">
        <f t="shared" si="61"/>
        <v>-6.6733164440763984E-4</v>
      </c>
      <c r="DE188" cm="1">
        <f t="array" ref="DE188">_xlfn.IFS(DD188&gt;0.9,0,DD188&lt;0.01,0)</f>
        <v>0</v>
      </c>
      <c r="DN188">
        <v>47.5</v>
      </c>
      <c r="DO188">
        <v>99.75</v>
      </c>
      <c r="DP188">
        <f t="shared" si="62"/>
        <v>34.25</v>
      </c>
      <c r="DQ188">
        <f t="shared" si="63"/>
        <v>5.8508569133403283E-4</v>
      </c>
      <c r="DR188" cm="1">
        <f t="array" ref="DR188">_xlfn.IFS(DQ188&gt;0.9,0,DQ188&lt;0.01,0)</f>
        <v>0</v>
      </c>
    </row>
    <row r="189" spans="1:122" x14ac:dyDescent="0.4">
      <c r="N189">
        <v>47.75</v>
      </c>
      <c r="O189">
        <v>7.75</v>
      </c>
      <c r="P189">
        <f t="shared" si="46"/>
        <v>25.75</v>
      </c>
      <c r="Q189">
        <f t="shared" si="47"/>
        <v>3.4255560848693647E-3</v>
      </c>
      <c r="R189" cm="1">
        <f t="array" ref="R189">_xlfn.IFS(Q189&gt;0.9,0,Q189&lt;0.01,0)</f>
        <v>0</v>
      </c>
      <c r="AA189">
        <v>46.75</v>
      </c>
      <c r="AB189">
        <v>26.5</v>
      </c>
      <c r="AC189">
        <f t="shared" si="48"/>
        <v>33.75</v>
      </c>
      <c r="AD189">
        <f t="shared" si="49"/>
        <v>-2.5434457359880275E-2</v>
      </c>
      <c r="AE189" cm="1">
        <f t="array" ref="AE189">_xlfn.IFS(AD189&gt;0.9,0,AD189&lt;0.01,0)</f>
        <v>0</v>
      </c>
      <c r="AN189">
        <v>47.75</v>
      </c>
      <c r="AO189">
        <v>27</v>
      </c>
      <c r="AP189">
        <f t="shared" si="50"/>
        <v>38.25</v>
      </c>
      <c r="AQ189">
        <f t="shared" si="51"/>
        <v>3.243914570737327E-4</v>
      </c>
      <c r="AR189" cm="1">
        <f t="array" ref="AR189">_xlfn.IFS(AQ189&gt;0.9,0,AQ189&lt;0.01,0)</f>
        <v>0</v>
      </c>
      <c r="BA189">
        <v>47.75</v>
      </c>
      <c r="BB189">
        <v>7.5</v>
      </c>
      <c r="BC189">
        <f t="shared" si="52"/>
        <v>30</v>
      </c>
      <c r="BD189">
        <f t="shared" si="53"/>
        <v>6.1418630019188982E-3</v>
      </c>
      <c r="BE189" cm="1">
        <f t="array" ref="BE189">_xlfn.IFS(BD189&gt;0.9,0,BD189&lt;0.01,0)</f>
        <v>0</v>
      </c>
      <c r="BN189">
        <v>47.75</v>
      </c>
      <c r="BO189">
        <v>90.25</v>
      </c>
      <c r="BP189">
        <f t="shared" si="54"/>
        <v>32.75</v>
      </c>
      <c r="BQ189">
        <f t="shared" si="55"/>
        <v>4.4394032048061553E-3</v>
      </c>
      <c r="BR189" cm="1">
        <f t="array" ref="BR189">_xlfn.IFS(BQ189&gt;0.9,0,BQ189&lt;0.01,0)</f>
        <v>0</v>
      </c>
      <c r="CA189">
        <v>47.75</v>
      </c>
      <c r="CB189">
        <v>8.5</v>
      </c>
      <c r="CC189">
        <f t="shared" si="56"/>
        <v>24.5</v>
      </c>
      <c r="CD189">
        <f t="shared" si="57"/>
        <v>2.1271764719941078E-4</v>
      </c>
      <c r="CE189" cm="1">
        <f t="array" ref="CE189">_xlfn.IFS(CD189&gt;0.9,0,CD189&lt;0.01,0)</f>
        <v>0</v>
      </c>
      <c r="CN189">
        <v>47.75</v>
      </c>
      <c r="CO189">
        <v>97.5</v>
      </c>
      <c r="CP189">
        <f t="shared" si="58"/>
        <v>33.75</v>
      </c>
      <c r="CQ189">
        <f t="shared" si="59"/>
        <v>-1.2889148701401419E-2</v>
      </c>
      <c r="CR189" cm="1">
        <f t="array" ref="CR189">_xlfn.IFS(CQ189&gt;0.9,0,CQ189&lt;0.01,0)</f>
        <v>0</v>
      </c>
      <c r="DA189">
        <v>47.75</v>
      </c>
      <c r="DB189">
        <v>98</v>
      </c>
      <c r="DC189">
        <f t="shared" si="60"/>
        <v>33</v>
      </c>
      <c r="DD189">
        <f t="shared" si="61"/>
        <v>-6.6733164440763984E-4</v>
      </c>
      <c r="DE189" cm="1">
        <f t="array" ref="DE189">_xlfn.IFS(DD189&gt;0.9,0,DD189&lt;0.01,0)</f>
        <v>0</v>
      </c>
      <c r="DN189">
        <v>47.75</v>
      </c>
      <c r="DO189">
        <v>99.75</v>
      </c>
      <c r="DP189">
        <f t="shared" si="62"/>
        <v>34.5</v>
      </c>
      <c r="DQ189">
        <f t="shared" si="63"/>
        <v>5.8508569133403283E-4</v>
      </c>
      <c r="DR189" cm="1">
        <f t="array" ref="DR189">_xlfn.IFS(DQ189&gt;0.9,0,DQ189&lt;0.01,0)</f>
        <v>0</v>
      </c>
    </row>
    <row r="190" spans="1:122" x14ac:dyDescent="0.4">
      <c r="N190">
        <v>48</v>
      </c>
      <c r="O190">
        <v>7.75</v>
      </c>
      <c r="P190">
        <f t="shared" si="46"/>
        <v>26</v>
      </c>
      <c r="Q190">
        <f t="shared" si="47"/>
        <v>3.4255560848693647E-3</v>
      </c>
      <c r="R190" cm="1">
        <f t="array" ref="R190">_xlfn.IFS(Q190&gt;0.9,0,Q190&lt;0.01,0)</f>
        <v>0</v>
      </c>
      <c r="AA190">
        <v>47</v>
      </c>
      <c r="AB190">
        <v>26.25</v>
      </c>
      <c r="AC190">
        <f t="shared" si="48"/>
        <v>34</v>
      </c>
      <c r="AD190">
        <f t="shared" si="49"/>
        <v>-1.2228104499942426E-2</v>
      </c>
      <c r="AE190" cm="1">
        <f t="array" ref="AE190">_xlfn.IFS(AD190&gt;0.9,0,AD190&lt;0.01,0)</f>
        <v>0</v>
      </c>
      <c r="AN190">
        <v>48</v>
      </c>
      <c r="AO190">
        <v>27</v>
      </c>
      <c r="AP190">
        <f t="shared" si="50"/>
        <v>38.5</v>
      </c>
      <c r="AQ190">
        <f t="shared" si="51"/>
        <v>3.243914570737327E-4</v>
      </c>
      <c r="AR190" cm="1">
        <f t="array" ref="AR190">_xlfn.IFS(AQ190&gt;0.9,0,AQ190&lt;0.01,0)</f>
        <v>0</v>
      </c>
      <c r="BA190">
        <v>48</v>
      </c>
      <c r="BB190">
        <v>7.5</v>
      </c>
      <c r="BC190">
        <f t="shared" si="52"/>
        <v>30.25</v>
      </c>
      <c r="BD190">
        <f t="shared" si="53"/>
        <v>6.1418630019188982E-3</v>
      </c>
      <c r="BE190" cm="1">
        <f t="array" ref="BE190">_xlfn.IFS(BD190&gt;0.9,0,BD190&lt;0.01,0)</f>
        <v>0</v>
      </c>
      <c r="BN190">
        <v>48</v>
      </c>
      <c r="BO190">
        <v>90.25</v>
      </c>
      <c r="BP190">
        <f t="shared" si="54"/>
        <v>33</v>
      </c>
      <c r="BQ190">
        <f t="shared" si="55"/>
        <v>4.4394032048061553E-3</v>
      </c>
      <c r="BR190" cm="1">
        <f t="array" ref="BR190">_xlfn.IFS(BQ190&gt;0.9,0,BQ190&lt;0.01,0)</f>
        <v>0</v>
      </c>
      <c r="CA190">
        <v>48</v>
      </c>
      <c r="CB190">
        <v>8.5</v>
      </c>
      <c r="CC190">
        <f t="shared" si="56"/>
        <v>24.75</v>
      </c>
      <c r="CD190">
        <f t="shared" si="57"/>
        <v>2.1271764719941078E-4</v>
      </c>
      <c r="CE190" cm="1">
        <f t="array" ref="CE190">_xlfn.IFS(CD190&gt;0.9,0,CD190&lt;0.01,0)</f>
        <v>0</v>
      </c>
      <c r="CN190">
        <v>48</v>
      </c>
      <c r="CO190">
        <v>97.5</v>
      </c>
      <c r="CP190">
        <f t="shared" si="58"/>
        <v>34</v>
      </c>
      <c r="CQ190">
        <f t="shared" si="59"/>
        <v>-1.2889148701401419E-2</v>
      </c>
      <c r="CR190" cm="1">
        <f t="array" ref="CR190">_xlfn.IFS(CQ190&gt;0.9,0,CQ190&lt;0.01,0)</f>
        <v>0</v>
      </c>
      <c r="DA190">
        <v>48</v>
      </c>
      <c r="DB190">
        <v>98.25</v>
      </c>
      <c r="DC190">
        <f t="shared" si="60"/>
        <v>33.25</v>
      </c>
      <c r="DD190">
        <f t="shared" si="61"/>
        <v>-3.479657860125242E-3</v>
      </c>
      <c r="DE190" cm="1">
        <f t="array" ref="DE190">_xlfn.IFS(DD190&gt;0.9,0,DD190&lt;0.01,0)</f>
        <v>0</v>
      </c>
      <c r="DN190">
        <v>48</v>
      </c>
      <c r="DO190">
        <v>99.75</v>
      </c>
      <c r="DP190">
        <f t="shared" si="62"/>
        <v>34.75</v>
      </c>
      <c r="DQ190">
        <f t="shared" si="63"/>
        <v>5.8508569133403283E-4</v>
      </c>
      <c r="DR190" cm="1">
        <f t="array" ref="DR190">_xlfn.IFS(DQ190&gt;0.9,0,DQ190&lt;0.01,0)</f>
        <v>0</v>
      </c>
    </row>
    <row r="191" spans="1:122" x14ac:dyDescent="0.4">
      <c r="N191">
        <v>48.25</v>
      </c>
      <c r="O191">
        <v>7.75</v>
      </c>
      <c r="P191">
        <f t="shared" si="46"/>
        <v>26.25</v>
      </c>
      <c r="Q191">
        <f t="shared" si="47"/>
        <v>3.4255560848693647E-3</v>
      </c>
      <c r="R191" cm="1">
        <f t="array" ref="R191">_xlfn.IFS(Q191&gt;0.9,0,Q191&lt;0.01,0)</f>
        <v>0</v>
      </c>
      <c r="AA191">
        <v>47.250999999999998</v>
      </c>
      <c r="AB191">
        <v>26.25</v>
      </c>
      <c r="AC191">
        <f t="shared" si="48"/>
        <v>34.250999999999998</v>
      </c>
      <c r="AD191">
        <f t="shared" si="49"/>
        <v>-1.2228104499942426E-2</v>
      </c>
      <c r="AE191" cm="1">
        <f t="array" ref="AE191">_xlfn.IFS(AD191&gt;0.9,0,AD191&lt;0.01,0)</f>
        <v>0</v>
      </c>
      <c r="AN191">
        <v>48.25</v>
      </c>
      <c r="AO191">
        <v>27</v>
      </c>
      <c r="AP191">
        <f t="shared" si="50"/>
        <v>38.75</v>
      </c>
      <c r="AQ191">
        <f t="shared" si="51"/>
        <v>3.243914570737327E-4</v>
      </c>
      <c r="AR191" cm="1">
        <f t="array" ref="AR191">_xlfn.IFS(AQ191&gt;0.9,0,AQ191&lt;0.01,0)</f>
        <v>0</v>
      </c>
      <c r="BA191">
        <v>48.25</v>
      </c>
      <c r="BB191">
        <v>7.5</v>
      </c>
      <c r="BC191">
        <f t="shared" si="52"/>
        <v>30.5</v>
      </c>
      <c r="BD191">
        <f t="shared" si="53"/>
        <v>6.1418630019188982E-3</v>
      </c>
      <c r="BE191" cm="1">
        <f t="array" ref="BE191">_xlfn.IFS(BD191&gt;0.9,0,BD191&lt;0.01,0)</f>
        <v>0</v>
      </c>
      <c r="BN191">
        <v>48.25</v>
      </c>
      <c r="BO191">
        <v>90.25</v>
      </c>
      <c r="BP191">
        <f t="shared" si="54"/>
        <v>33.25</v>
      </c>
      <c r="BQ191">
        <f t="shared" si="55"/>
        <v>4.4394032048061553E-3</v>
      </c>
      <c r="BR191" cm="1">
        <f t="array" ref="BR191">_xlfn.IFS(BQ191&gt;0.9,0,BQ191&lt;0.01,0)</f>
        <v>0</v>
      </c>
      <c r="CA191">
        <v>48.25</v>
      </c>
      <c r="CB191">
        <v>8.5</v>
      </c>
      <c r="CC191">
        <f t="shared" si="56"/>
        <v>25</v>
      </c>
      <c r="CD191">
        <f t="shared" si="57"/>
        <v>2.1271764719941078E-4</v>
      </c>
      <c r="CE191" cm="1">
        <f t="array" ref="CE191">_xlfn.IFS(CD191&gt;0.9,0,CD191&lt;0.01,0)</f>
        <v>0</v>
      </c>
      <c r="CN191">
        <v>48.25</v>
      </c>
      <c r="CO191">
        <v>97.5</v>
      </c>
      <c r="CP191">
        <f t="shared" si="58"/>
        <v>34.25</v>
      </c>
      <c r="CQ191">
        <f t="shared" si="59"/>
        <v>-1.2889148701401419E-2</v>
      </c>
      <c r="CR191" cm="1">
        <f t="array" ref="CR191">_xlfn.IFS(CQ191&gt;0.9,0,CQ191&lt;0.01,0)</f>
        <v>0</v>
      </c>
      <c r="DA191">
        <v>48.25</v>
      </c>
      <c r="DB191">
        <v>98.25</v>
      </c>
      <c r="DC191">
        <f t="shared" si="60"/>
        <v>33.5</v>
      </c>
      <c r="DD191">
        <f t="shared" si="61"/>
        <v>-3.479657860125242E-3</v>
      </c>
      <c r="DE191" cm="1">
        <f t="array" ref="DE191">_xlfn.IFS(DD191&gt;0.9,0,DD191&lt;0.01,0)</f>
        <v>0</v>
      </c>
      <c r="DN191">
        <v>48.25</v>
      </c>
      <c r="DO191">
        <v>99.75</v>
      </c>
      <c r="DP191">
        <f t="shared" si="62"/>
        <v>35</v>
      </c>
      <c r="DQ191">
        <f t="shared" si="63"/>
        <v>5.8508569133403283E-4</v>
      </c>
      <c r="DR191" cm="1">
        <f t="array" ref="DR191">_xlfn.IFS(DQ191&gt;0.9,0,DQ191&lt;0.01,0)</f>
        <v>0</v>
      </c>
    </row>
    <row r="192" spans="1:122" x14ac:dyDescent="0.4">
      <c r="N192">
        <v>48.5</v>
      </c>
      <c r="O192">
        <v>7.75</v>
      </c>
      <c r="P192">
        <f t="shared" si="46"/>
        <v>26.5</v>
      </c>
      <c r="Q192">
        <f t="shared" si="47"/>
        <v>3.4255560848693647E-3</v>
      </c>
      <c r="R192" cm="1">
        <f t="array" ref="R192">_xlfn.IFS(Q192&gt;0.9,0,Q192&lt;0.01,0)</f>
        <v>0</v>
      </c>
      <c r="AA192">
        <v>47.5</v>
      </c>
      <c r="AB192">
        <v>26.5</v>
      </c>
      <c r="AC192">
        <f t="shared" si="48"/>
        <v>34.5</v>
      </c>
      <c r="AD192">
        <f t="shared" si="49"/>
        <v>-2.5434457359880275E-2</v>
      </c>
      <c r="AE192" cm="1">
        <f t="array" ref="AE192">_xlfn.IFS(AD192&gt;0.9,0,AD192&lt;0.01,0)</f>
        <v>0</v>
      </c>
      <c r="AN192">
        <v>48.5</v>
      </c>
      <c r="AO192">
        <v>26.75</v>
      </c>
      <c r="AP192">
        <f t="shared" si="50"/>
        <v>39</v>
      </c>
      <c r="AQ192">
        <f t="shared" si="51"/>
        <v>-3.0276535993549337E-3</v>
      </c>
      <c r="AR192" cm="1">
        <f t="array" ref="AR192">_xlfn.IFS(AQ192&gt;0.9,0,AQ192&lt;0.01,0)</f>
        <v>0</v>
      </c>
      <c r="BA192">
        <v>48.5</v>
      </c>
      <c r="BB192">
        <v>7.25</v>
      </c>
      <c r="BC192">
        <f t="shared" si="52"/>
        <v>30.75</v>
      </c>
      <c r="BD192">
        <f t="shared" si="53"/>
        <v>3.4516254886816956E-3</v>
      </c>
      <c r="BE192" cm="1">
        <f t="array" ref="BE192">_xlfn.IFS(BD192&gt;0.9,0,BD192&lt;0.01,0)</f>
        <v>0</v>
      </c>
      <c r="BN192">
        <v>48.5</v>
      </c>
      <c r="BO192">
        <v>90.25</v>
      </c>
      <c r="BP192">
        <f t="shared" si="54"/>
        <v>33.5</v>
      </c>
      <c r="BQ192">
        <f t="shared" si="55"/>
        <v>4.4394032048061553E-3</v>
      </c>
      <c r="BR192" cm="1">
        <f t="array" ref="BR192">_xlfn.IFS(BQ192&gt;0.9,0,BQ192&lt;0.01,0)</f>
        <v>0</v>
      </c>
      <c r="CA192">
        <v>48.5</v>
      </c>
      <c r="CB192">
        <v>8.5</v>
      </c>
      <c r="CC192">
        <f t="shared" si="56"/>
        <v>25.25</v>
      </c>
      <c r="CD192">
        <f t="shared" si="57"/>
        <v>2.1271764719941078E-4</v>
      </c>
      <c r="CE192" cm="1">
        <f t="array" ref="CE192">_xlfn.IFS(CD192&gt;0.9,0,CD192&lt;0.01,0)</f>
        <v>0</v>
      </c>
      <c r="CN192">
        <v>48.5</v>
      </c>
      <c r="CO192">
        <v>97.5</v>
      </c>
      <c r="CP192">
        <f t="shared" si="58"/>
        <v>34.5</v>
      </c>
      <c r="CQ192">
        <f t="shared" si="59"/>
        <v>-1.2889148701401419E-2</v>
      </c>
      <c r="CR192" cm="1">
        <f t="array" ref="CR192">_xlfn.IFS(CQ192&gt;0.9,0,CQ192&lt;0.01,0)</f>
        <v>0</v>
      </c>
      <c r="DA192">
        <v>48.5</v>
      </c>
      <c r="DB192">
        <v>98</v>
      </c>
      <c r="DC192">
        <f t="shared" si="60"/>
        <v>33.75</v>
      </c>
      <c r="DD192">
        <f t="shared" si="61"/>
        <v>-6.6733164440763984E-4</v>
      </c>
      <c r="DE192" cm="1">
        <f t="array" ref="DE192">_xlfn.IFS(DD192&gt;0.9,0,DD192&lt;0.01,0)</f>
        <v>0</v>
      </c>
      <c r="DN192">
        <v>48.5</v>
      </c>
      <c r="DO192">
        <v>100</v>
      </c>
      <c r="DP192">
        <f t="shared" si="62"/>
        <v>35.25</v>
      </c>
      <c r="DQ192">
        <f t="shared" si="63"/>
        <v>-2.0715196098585933E-3</v>
      </c>
      <c r="DR192" cm="1">
        <f t="array" ref="DR192">_xlfn.IFS(DQ192&gt;0.9,0,DQ192&lt;0.01,0)</f>
        <v>0</v>
      </c>
    </row>
    <row r="193" spans="14:122" x14ac:dyDescent="0.4">
      <c r="N193">
        <v>48.75</v>
      </c>
      <c r="O193">
        <v>7.75</v>
      </c>
      <c r="P193">
        <f t="shared" si="46"/>
        <v>26.75</v>
      </c>
      <c r="Q193">
        <f t="shared" si="47"/>
        <v>3.4255560848693647E-3</v>
      </c>
      <c r="R193" cm="1">
        <f t="array" ref="R193">_xlfn.IFS(Q193&gt;0.9,0,Q193&lt;0.01,0)</f>
        <v>0</v>
      </c>
      <c r="AA193">
        <v>47.75</v>
      </c>
      <c r="AB193">
        <v>26.5</v>
      </c>
      <c r="AC193">
        <f t="shared" si="48"/>
        <v>34.75</v>
      </c>
      <c r="AD193">
        <f t="shared" si="49"/>
        <v>-2.5434457359880275E-2</v>
      </c>
      <c r="AE193" cm="1">
        <f t="array" ref="AE193">_xlfn.IFS(AD193&gt;0.9,0,AD193&lt;0.01,0)</f>
        <v>0</v>
      </c>
      <c r="AN193">
        <v>48.75</v>
      </c>
      <c r="AO193">
        <v>27</v>
      </c>
      <c r="AP193">
        <f t="shared" si="50"/>
        <v>39.25</v>
      </c>
      <c r="AQ193">
        <f t="shared" si="51"/>
        <v>3.243914570737327E-4</v>
      </c>
      <c r="AR193" cm="1">
        <f t="array" ref="AR193">_xlfn.IFS(AQ193&gt;0.9,0,AQ193&lt;0.01,0)</f>
        <v>0</v>
      </c>
      <c r="BA193">
        <v>48.75</v>
      </c>
      <c r="BB193">
        <v>7.5</v>
      </c>
      <c r="BC193">
        <f t="shared" si="52"/>
        <v>31</v>
      </c>
      <c r="BD193">
        <f t="shared" si="53"/>
        <v>6.1418630019188982E-3</v>
      </c>
      <c r="BE193" cm="1">
        <f t="array" ref="BE193">_xlfn.IFS(BD193&gt;0.9,0,BD193&lt;0.01,0)</f>
        <v>0</v>
      </c>
      <c r="BN193">
        <v>48.75</v>
      </c>
      <c r="BO193">
        <v>90.25</v>
      </c>
      <c r="BP193">
        <f t="shared" si="54"/>
        <v>33.75</v>
      </c>
      <c r="BQ193">
        <f t="shared" si="55"/>
        <v>4.4394032048061553E-3</v>
      </c>
      <c r="BR193" cm="1">
        <f t="array" ref="BR193">_xlfn.IFS(BQ193&gt;0.9,0,BQ193&lt;0.01,0)</f>
        <v>0</v>
      </c>
      <c r="CA193">
        <v>48.75</v>
      </c>
      <c r="CB193">
        <v>8.5</v>
      </c>
      <c r="CC193">
        <f t="shared" si="56"/>
        <v>25.5</v>
      </c>
      <c r="CD193">
        <f t="shared" si="57"/>
        <v>2.1271764719941078E-4</v>
      </c>
      <c r="CE193" cm="1">
        <f t="array" ref="CE193">_xlfn.IFS(CD193&gt;0.9,0,CD193&lt;0.01,0)</f>
        <v>0</v>
      </c>
      <c r="CN193">
        <v>48.75</v>
      </c>
      <c r="CO193">
        <v>97.75</v>
      </c>
      <c r="CP193">
        <f t="shared" si="58"/>
        <v>34.75</v>
      </c>
      <c r="CQ193">
        <f t="shared" si="59"/>
        <v>-1.5671669636939684E-2</v>
      </c>
      <c r="CR193" cm="1">
        <f t="array" ref="CR193">_xlfn.IFS(CQ193&gt;0.9,0,CQ193&lt;0.01,0)</f>
        <v>0</v>
      </c>
      <c r="DA193">
        <v>48.75</v>
      </c>
      <c r="DB193">
        <v>98.5</v>
      </c>
      <c r="DC193">
        <f t="shared" si="60"/>
        <v>34</v>
      </c>
      <c r="DD193">
        <f t="shared" si="61"/>
        <v>-6.2919840758428446E-3</v>
      </c>
      <c r="DE193" cm="1">
        <f t="array" ref="DE193">_xlfn.IFS(DD193&gt;0.9,0,DD193&lt;0.01,0)</f>
        <v>0</v>
      </c>
      <c r="DN193">
        <v>48.75</v>
      </c>
      <c r="DO193">
        <v>100</v>
      </c>
      <c r="DP193">
        <f t="shared" si="62"/>
        <v>35.5</v>
      </c>
      <c r="DQ193">
        <f t="shared" si="63"/>
        <v>-2.0715196098585933E-3</v>
      </c>
      <c r="DR193" cm="1">
        <f t="array" ref="DR193">_xlfn.IFS(DQ193&gt;0.9,0,DQ193&lt;0.01,0)</f>
        <v>0</v>
      </c>
    </row>
    <row r="194" spans="14:122" x14ac:dyDescent="0.4">
      <c r="N194">
        <v>49</v>
      </c>
      <c r="O194">
        <v>7.75</v>
      </c>
      <c r="P194">
        <f t="shared" si="46"/>
        <v>27</v>
      </c>
      <c r="Q194">
        <f t="shared" si="47"/>
        <v>3.4255560848693647E-3</v>
      </c>
      <c r="R194" cm="1">
        <f t="array" ref="R194">_xlfn.IFS(Q194&gt;0.9,0,Q194&lt;0.01,0)</f>
        <v>0</v>
      </c>
      <c r="AA194">
        <v>48</v>
      </c>
      <c r="AB194">
        <v>26.25</v>
      </c>
      <c r="AC194">
        <f t="shared" si="48"/>
        <v>35</v>
      </c>
      <c r="AD194">
        <f t="shared" si="49"/>
        <v>-1.2228104499942426E-2</v>
      </c>
      <c r="AE194" cm="1">
        <f t="array" ref="AE194">_xlfn.IFS(AD194&gt;0.9,0,AD194&lt;0.01,0)</f>
        <v>0</v>
      </c>
      <c r="AN194">
        <v>49</v>
      </c>
      <c r="AO194">
        <v>27</v>
      </c>
      <c r="AP194">
        <f t="shared" si="50"/>
        <v>39.5</v>
      </c>
      <c r="AQ194">
        <f t="shared" si="51"/>
        <v>3.243914570737327E-4</v>
      </c>
      <c r="AR194" cm="1">
        <f t="array" ref="AR194">_xlfn.IFS(AQ194&gt;0.9,0,AQ194&lt;0.01,0)</f>
        <v>0</v>
      </c>
      <c r="BA194">
        <v>49</v>
      </c>
      <c r="BB194">
        <v>7.25</v>
      </c>
      <c r="BC194">
        <f t="shared" si="52"/>
        <v>31.25</v>
      </c>
      <c r="BD194">
        <f t="shared" si="53"/>
        <v>3.4516254886816956E-3</v>
      </c>
      <c r="BE194" cm="1">
        <f t="array" ref="BE194">_xlfn.IFS(BD194&gt;0.9,0,BD194&lt;0.01,0)</f>
        <v>0</v>
      </c>
      <c r="BN194">
        <v>49</v>
      </c>
      <c r="BO194">
        <v>90.25</v>
      </c>
      <c r="BP194">
        <f t="shared" si="54"/>
        <v>34</v>
      </c>
      <c r="BQ194">
        <f t="shared" si="55"/>
        <v>4.4394032048061553E-3</v>
      </c>
      <c r="BR194" cm="1">
        <f t="array" ref="BR194">_xlfn.IFS(BQ194&gt;0.9,0,BQ194&lt;0.01,0)</f>
        <v>0</v>
      </c>
      <c r="CA194">
        <v>49</v>
      </c>
      <c r="CB194">
        <v>8.5</v>
      </c>
      <c r="CC194">
        <f t="shared" si="56"/>
        <v>25.75</v>
      </c>
      <c r="CD194">
        <f t="shared" si="57"/>
        <v>2.1271764719941078E-4</v>
      </c>
      <c r="CE194" cm="1">
        <f t="array" ref="CE194">_xlfn.IFS(CD194&gt;0.9,0,CD194&lt;0.01,0)</f>
        <v>0</v>
      </c>
      <c r="CN194">
        <v>49</v>
      </c>
      <c r="CO194">
        <v>97.75</v>
      </c>
      <c r="CP194">
        <f t="shared" si="58"/>
        <v>35</v>
      </c>
      <c r="CQ194">
        <f t="shared" si="59"/>
        <v>-1.5671669636939684E-2</v>
      </c>
      <c r="CR194" cm="1">
        <f t="array" ref="CR194">_xlfn.IFS(CQ194&gt;0.9,0,CQ194&lt;0.01,0)</f>
        <v>0</v>
      </c>
      <c r="DN194">
        <v>49</v>
      </c>
      <c r="DO194">
        <v>100</v>
      </c>
      <c r="DP194">
        <f t="shared" si="62"/>
        <v>35.75</v>
      </c>
      <c r="DQ194">
        <f t="shared" si="63"/>
        <v>-2.0715196098585933E-3</v>
      </c>
      <c r="DR194" cm="1">
        <f t="array" ref="DR194">_xlfn.IFS(DQ194&gt;0.9,0,DQ194&lt;0.01,0)</f>
        <v>0</v>
      </c>
    </row>
    <row r="195" spans="14:122" x14ac:dyDescent="0.4">
      <c r="N195">
        <v>49.25</v>
      </c>
      <c r="O195">
        <v>7.5</v>
      </c>
      <c r="P195">
        <f t="shared" ref="P195:P229" si="64">N195-$T$5</f>
        <v>27.25</v>
      </c>
      <c r="Q195">
        <f t="shared" ref="Q195:Q229" si="65">(O195-$T$2)/($T$1-$T$2)</f>
        <v>7.8126717725091033E-4</v>
      </c>
      <c r="R195" cm="1">
        <f t="array" ref="R195">_xlfn.IFS(Q195&gt;0.9,0,Q195&lt;0.01,0)</f>
        <v>0</v>
      </c>
      <c r="AA195">
        <v>48.25</v>
      </c>
      <c r="AB195">
        <v>26.5</v>
      </c>
      <c r="AC195">
        <f t="shared" ref="AC195:AC256" si="66">AA195-$AH$5</f>
        <v>35.25</v>
      </c>
      <c r="AD195">
        <f t="shared" ref="AD195:AD256" si="67">(AB195-$AH$2)/($AH$1-$AH$2)</f>
        <v>-2.5434457359880275E-2</v>
      </c>
      <c r="AE195" cm="1">
        <f t="array" ref="AE195">_xlfn.IFS(AD195&gt;0.9,0,AD195&lt;0.01,0)</f>
        <v>0</v>
      </c>
      <c r="AN195">
        <v>49.25</v>
      </c>
      <c r="AO195">
        <v>27</v>
      </c>
      <c r="AP195">
        <f t="shared" ref="AP195:AP232" si="68">AN195-$AT$5</f>
        <v>39.75</v>
      </c>
      <c r="AQ195">
        <f t="shared" ref="AQ195:AQ232" si="69">(AO195-$AT$2)/($AT$1-$AT$2)</f>
        <v>3.243914570737327E-4</v>
      </c>
      <c r="AR195" cm="1">
        <f t="array" ref="AR195">_xlfn.IFS(AQ195&gt;0.9,0,AQ195&lt;0.01,0)</f>
        <v>0</v>
      </c>
      <c r="BA195">
        <v>49.25</v>
      </c>
      <c r="BB195">
        <v>7.25</v>
      </c>
      <c r="BC195">
        <f t="shared" ref="BC195:BC246" si="70">BA195-$BH$5</f>
        <v>31.5</v>
      </c>
      <c r="BD195">
        <f t="shared" ref="BD195:BD246" si="71">(BB195-$BH$2)/($BH$1-$BH$2)</f>
        <v>3.4516254886816956E-3</v>
      </c>
      <c r="BE195" cm="1">
        <f t="array" ref="BE195">_xlfn.IFS(BD195&gt;0.9,0,BD195&lt;0.01,0)</f>
        <v>0</v>
      </c>
      <c r="BN195">
        <v>49.25</v>
      </c>
      <c r="BO195">
        <v>90.25</v>
      </c>
      <c r="BP195">
        <f t="shared" ref="BP195:BP246" si="72">BN195-$BT$5</f>
        <v>34.25</v>
      </c>
      <c r="BQ195">
        <f t="shared" ref="BQ195:BQ246" si="73">(BO195-$BT$2)/($BT$1-$BT$2)</f>
        <v>4.4394032048061553E-3</v>
      </c>
      <c r="BR195" cm="1">
        <f t="array" ref="BR195">_xlfn.IFS(BQ195&gt;0.9,0,BQ195&lt;0.01,0)</f>
        <v>0</v>
      </c>
      <c r="CA195">
        <v>49.25</v>
      </c>
      <c r="CB195">
        <v>8.5</v>
      </c>
      <c r="CC195">
        <f t="shared" ref="CC195:CC247" si="74">CA195-$CH$5</f>
        <v>26</v>
      </c>
      <c r="CD195">
        <f t="shared" ref="CD195:CD247" si="75">(CB195-$CH$2)/($CH$1-$CH$2)</f>
        <v>2.1271764719941078E-4</v>
      </c>
      <c r="CE195" cm="1">
        <f t="array" ref="CE195">_xlfn.IFS(CD195&gt;0.9,0,CD195&lt;0.01,0)</f>
        <v>0</v>
      </c>
      <c r="CN195">
        <v>49.25</v>
      </c>
      <c r="CO195">
        <v>97.5</v>
      </c>
      <c r="CP195">
        <f t="shared" ref="CP195:CP250" si="76">CN195-$CT$5</f>
        <v>35.25</v>
      </c>
      <c r="CQ195">
        <f t="shared" ref="CQ195:CQ250" si="77">(CO195-$CT$2)/($CT$1-$CT$2)</f>
        <v>-1.2889148701401419E-2</v>
      </c>
      <c r="CR195" cm="1">
        <f t="array" ref="CR195">_xlfn.IFS(CQ195&gt;0.9,0,CQ195&lt;0.01,0)</f>
        <v>0</v>
      </c>
      <c r="DN195">
        <v>49.25</v>
      </c>
      <c r="DO195">
        <v>100</v>
      </c>
      <c r="DP195">
        <f t="shared" ref="DP195:DP258" si="78">DN195-$DT$5</f>
        <v>36</v>
      </c>
      <c r="DQ195">
        <f t="shared" ref="DQ195:DQ258" si="79">(DO195-$DT$2)/($DT$1-$DT$2)</f>
        <v>-2.0715196098585933E-3</v>
      </c>
      <c r="DR195" cm="1">
        <f t="array" ref="DR195">_xlfn.IFS(DQ195&gt;0.9,0,DQ195&lt;0.01,0)</f>
        <v>0</v>
      </c>
    </row>
    <row r="196" spans="14:122" x14ac:dyDescent="0.4">
      <c r="N196">
        <v>49.5</v>
      </c>
      <c r="O196">
        <v>7.75</v>
      </c>
      <c r="P196">
        <f t="shared" si="64"/>
        <v>27.5</v>
      </c>
      <c r="Q196">
        <f t="shared" si="65"/>
        <v>3.4255560848693647E-3</v>
      </c>
      <c r="R196" cm="1">
        <f t="array" ref="R196">_xlfn.IFS(Q196&gt;0.9,0,Q196&lt;0.01,0)</f>
        <v>0</v>
      </c>
      <c r="AA196">
        <v>48.5</v>
      </c>
      <c r="AB196">
        <v>26.25</v>
      </c>
      <c r="AC196">
        <f t="shared" si="66"/>
        <v>35.5</v>
      </c>
      <c r="AD196">
        <f t="shared" si="67"/>
        <v>-1.2228104499942426E-2</v>
      </c>
      <c r="AE196" cm="1">
        <f t="array" ref="AE196">_xlfn.IFS(AD196&gt;0.9,0,AD196&lt;0.01,0)</f>
        <v>0</v>
      </c>
      <c r="AN196">
        <v>49.5</v>
      </c>
      <c r="AO196">
        <v>27</v>
      </c>
      <c r="AP196">
        <f t="shared" si="68"/>
        <v>40</v>
      </c>
      <c r="AQ196">
        <f t="shared" si="69"/>
        <v>3.243914570737327E-4</v>
      </c>
      <c r="AR196" cm="1">
        <f t="array" ref="AR196">_xlfn.IFS(AQ196&gt;0.9,0,AQ196&lt;0.01,0)</f>
        <v>0</v>
      </c>
      <c r="BA196">
        <v>49.5</v>
      </c>
      <c r="BB196">
        <v>7.25</v>
      </c>
      <c r="BC196">
        <f t="shared" si="70"/>
        <v>31.75</v>
      </c>
      <c r="BD196">
        <f t="shared" si="71"/>
        <v>3.4516254886816956E-3</v>
      </c>
      <c r="BE196" cm="1">
        <f t="array" ref="BE196">_xlfn.IFS(BD196&gt;0.9,0,BD196&lt;0.01,0)</f>
        <v>0</v>
      </c>
      <c r="BN196">
        <v>49.5</v>
      </c>
      <c r="BO196">
        <v>90.25</v>
      </c>
      <c r="BP196">
        <f t="shared" si="72"/>
        <v>34.5</v>
      </c>
      <c r="BQ196">
        <f t="shared" si="73"/>
        <v>4.4394032048061553E-3</v>
      </c>
      <c r="BR196" cm="1">
        <f t="array" ref="BR196">_xlfn.IFS(BQ196&gt;0.9,0,BQ196&lt;0.01,0)</f>
        <v>0</v>
      </c>
      <c r="CA196">
        <v>49.5</v>
      </c>
      <c r="CB196">
        <v>8.25</v>
      </c>
      <c r="CC196">
        <f t="shared" si="74"/>
        <v>26.25</v>
      </c>
      <c r="CD196">
        <f t="shared" si="75"/>
        <v>-2.7653294135924246E-3</v>
      </c>
      <c r="CE196" cm="1">
        <f t="array" ref="CE196">_xlfn.IFS(CD196&gt;0.9,0,CD196&lt;0.01,0)</f>
        <v>0</v>
      </c>
      <c r="CN196">
        <v>49.5</v>
      </c>
      <c r="CO196">
        <v>97.5</v>
      </c>
      <c r="CP196">
        <f t="shared" si="76"/>
        <v>35.5</v>
      </c>
      <c r="CQ196">
        <f t="shared" si="77"/>
        <v>-1.2889148701401419E-2</v>
      </c>
      <c r="CR196" cm="1">
        <f t="array" ref="CR196">_xlfn.IFS(CQ196&gt;0.9,0,CQ196&lt;0.01,0)</f>
        <v>0</v>
      </c>
      <c r="DN196">
        <v>49.5</v>
      </c>
      <c r="DO196">
        <v>99.75</v>
      </c>
      <c r="DP196">
        <f t="shared" si="78"/>
        <v>36.25</v>
      </c>
      <c r="DQ196">
        <f t="shared" si="79"/>
        <v>5.8508569133403283E-4</v>
      </c>
      <c r="DR196" cm="1">
        <f t="array" ref="DR196">_xlfn.IFS(DQ196&gt;0.9,0,DQ196&lt;0.01,0)</f>
        <v>0</v>
      </c>
    </row>
    <row r="197" spans="14:122" x14ac:dyDescent="0.4">
      <c r="N197">
        <v>49.75</v>
      </c>
      <c r="O197">
        <v>7.5</v>
      </c>
      <c r="P197">
        <f t="shared" si="64"/>
        <v>27.75</v>
      </c>
      <c r="Q197">
        <f t="shared" si="65"/>
        <v>7.8126717725091033E-4</v>
      </c>
      <c r="R197" cm="1">
        <f t="array" ref="R197">_xlfn.IFS(Q197&gt;0.9,0,Q197&lt;0.01,0)</f>
        <v>0</v>
      </c>
      <c r="AA197">
        <v>48.75</v>
      </c>
      <c r="AB197">
        <v>26.5</v>
      </c>
      <c r="AC197">
        <f t="shared" si="66"/>
        <v>35.75</v>
      </c>
      <c r="AD197">
        <f t="shared" si="67"/>
        <v>-2.5434457359880275E-2</v>
      </c>
      <c r="AE197" cm="1">
        <f t="array" ref="AE197">_xlfn.IFS(AD197&gt;0.9,0,AD197&lt;0.01,0)</f>
        <v>0</v>
      </c>
      <c r="AN197">
        <v>49.75</v>
      </c>
      <c r="AO197">
        <v>27</v>
      </c>
      <c r="AP197">
        <f t="shared" si="68"/>
        <v>40.25</v>
      </c>
      <c r="AQ197">
        <f t="shared" si="69"/>
        <v>3.243914570737327E-4</v>
      </c>
      <c r="AR197" cm="1">
        <f t="array" ref="AR197">_xlfn.IFS(AQ197&gt;0.9,0,AQ197&lt;0.01,0)</f>
        <v>0</v>
      </c>
      <c r="BA197">
        <v>49.75</v>
      </c>
      <c r="BB197">
        <v>7.25</v>
      </c>
      <c r="BC197">
        <f t="shared" si="70"/>
        <v>32</v>
      </c>
      <c r="BD197">
        <f t="shared" si="71"/>
        <v>3.4516254886816956E-3</v>
      </c>
      <c r="BE197" cm="1">
        <f t="array" ref="BE197">_xlfn.IFS(BD197&gt;0.9,0,BD197&lt;0.01,0)</f>
        <v>0</v>
      </c>
      <c r="BN197">
        <v>49.75</v>
      </c>
      <c r="BO197">
        <v>90.25</v>
      </c>
      <c r="BP197">
        <f t="shared" si="72"/>
        <v>34.75</v>
      </c>
      <c r="BQ197">
        <f t="shared" si="73"/>
        <v>4.4394032048061553E-3</v>
      </c>
      <c r="BR197" cm="1">
        <f t="array" ref="BR197">_xlfn.IFS(BQ197&gt;0.9,0,BQ197&lt;0.01,0)</f>
        <v>0</v>
      </c>
      <c r="CA197">
        <v>49.75</v>
      </c>
      <c r="CB197">
        <v>8.5</v>
      </c>
      <c r="CC197">
        <f t="shared" si="74"/>
        <v>26.5</v>
      </c>
      <c r="CD197">
        <f t="shared" si="75"/>
        <v>2.1271764719941078E-4</v>
      </c>
      <c r="CE197" cm="1">
        <f t="array" ref="CE197">_xlfn.IFS(CD197&gt;0.9,0,CD197&lt;0.01,0)</f>
        <v>0</v>
      </c>
      <c r="CN197">
        <v>49.75</v>
      </c>
      <c r="CO197">
        <v>97.25</v>
      </c>
      <c r="CP197">
        <f t="shared" si="76"/>
        <v>35.75</v>
      </c>
      <c r="CQ197">
        <f t="shared" si="77"/>
        <v>-1.0106627765863154E-2</v>
      </c>
      <c r="CR197" cm="1">
        <f t="array" ref="CR197">_xlfn.IFS(CQ197&gt;0.9,0,CQ197&lt;0.01,0)</f>
        <v>0</v>
      </c>
      <c r="DN197">
        <v>49.75</v>
      </c>
      <c r="DO197">
        <v>100</v>
      </c>
      <c r="DP197">
        <f t="shared" si="78"/>
        <v>36.5</v>
      </c>
      <c r="DQ197">
        <f t="shared" si="79"/>
        <v>-2.0715196098585933E-3</v>
      </c>
      <c r="DR197" cm="1">
        <f t="array" ref="DR197">_xlfn.IFS(DQ197&gt;0.9,0,DQ197&lt;0.01,0)</f>
        <v>0</v>
      </c>
    </row>
    <row r="198" spans="14:122" x14ac:dyDescent="0.4">
      <c r="N198">
        <v>50</v>
      </c>
      <c r="O198">
        <v>7.5</v>
      </c>
      <c r="P198">
        <f t="shared" si="64"/>
        <v>28</v>
      </c>
      <c r="Q198">
        <f t="shared" si="65"/>
        <v>7.8126717725091033E-4</v>
      </c>
      <c r="R198" cm="1">
        <f t="array" ref="R198">_xlfn.IFS(Q198&gt;0.9,0,Q198&lt;0.01,0)</f>
        <v>0</v>
      </c>
      <c r="AA198">
        <v>49</v>
      </c>
      <c r="AB198">
        <v>26.5</v>
      </c>
      <c r="AC198">
        <f t="shared" si="66"/>
        <v>36</v>
      </c>
      <c r="AD198">
        <f t="shared" si="67"/>
        <v>-2.5434457359880275E-2</v>
      </c>
      <c r="AE198" cm="1">
        <f t="array" ref="AE198">_xlfn.IFS(AD198&gt;0.9,0,AD198&lt;0.01,0)</f>
        <v>0</v>
      </c>
      <c r="AN198">
        <v>50</v>
      </c>
      <c r="AO198">
        <v>27</v>
      </c>
      <c r="AP198">
        <f t="shared" si="68"/>
        <v>40.5</v>
      </c>
      <c r="AQ198">
        <f t="shared" si="69"/>
        <v>3.243914570737327E-4</v>
      </c>
      <c r="AR198" cm="1">
        <f t="array" ref="AR198">_xlfn.IFS(AQ198&gt;0.9,0,AQ198&lt;0.01,0)</f>
        <v>0</v>
      </c>
      <c r="BA198">
        <v>50</v>
      </c>
      <c r="BB198">
        <v>7.25</v>
      </c>
      <c r="BC198">
        <f t="shared" si="70"/>
        <v>32.25</v>
      </c>
      <c r="BD198">
        <f t="shared" si="71"/>
        <v>3.4516254886816956E-3</v>
      </c>
      <c r="BE198" cm="1">
        <f t="array" ref="BE198">_xlfn.IFS(BD198&gt;0.9,0,BD198&lt;0.01,0)</f>
        <v>0</v>
      </c>
      <c r="BN198">
        <v>50</v>
      </c>
      <c r="BO198">
        <v>90.25</v>
      </c>
      <c r="BP198">
        <f t="shared" si="72"/>
        <v>35</v>
      </c>
      <c r="BQ198">
        <f t="shared" si="73"/>
        <v>4.4394032048061553E-3</v>
      </c>
      <c r="BR198" cm="1">
        <f t="array" ref="BR198">_xlfn.IFS(BQ198&gt;0.9,0,BQ198&lt;0.01,0)</f>
        <v>0</v>
      </c>
      <c r="CA198">
        <v>50</v>
      </c>
      <c r="CB198">
        <v>8.25</v>
      </c>
      <c r="CC198">
        <f t="shared" si="74"/>
        <v>26.75</v>
      </c>
      <c r="CD198">
        <f t="shared" si="75"/>
        <v>-2.7653294135924246E-3</v>
      </c>
      <c r="CE198" cm="1">
        <f t="array" ref="CE198">_xlfn.IFS(CD198&gt;0.9,0,CD198&lt;0.01,0)</f>
        <v>0</v>
      </c>
      <c r="CN198">
        <v>50</v>
      </c>
      <c r="CO198">
        <v>97.25</v>
      </c>
      <c r="CP198">
        <f t="shared" si="76"/>
        <v>36</v>
      </c>
      <c r="CQ198">
        <f t="shared" si="77"/>
        <v>-1.0106627765863154E-2</v>
      </c>
      <c r="CR198" cm="1">
        <f t="array" ref="CR198">_xlfn.IFS(CQ198&gt;0.9,0,CQ198&lt;0.01,0)</f>
        <v>0</v>
      </c>
      <c r="DN198">
        <v>50</v>
      </c>
      <c r="DO198">
        <v>99.75</v>
      </c>
      <c r="DP198">
        <f t="shared" si="78"/>
        <v>36.75</v>
      </c>
      <c r="DQ198">
        <f t="shared" si="79"/>
        <v>5.8508569133403283E-4</v>
      </c>
      <c r="DR198" cm="1">
        <f t="array" ref="DR198">_xlfn.IFS(DQ198&gt;0.9,0,DQ198&lt;0.01,0)</f>
        <v>0</v>
      </c>
    </row>
    <row r="199" spans="14:122" x14ac:dyDescent="0.4">
      <c r="N199">
        <v>50.25</v>
      </c>
      <c r="O199">
        <v>7.5</v>
      </c>
      <c r="P199">
        <f t="shared" si="64"/>
        <v>28.25</v>
      </c>
      <c r="Q199">
        <f t="shared" si="65"/>
        <v>7.8126717725091033E-4</v>
      </c>
      <c r="R199" cm="1">
        <f t="array" ref="R199">_xlfn.IFS(Q199&gt;0.9,0,Q199&lt;0.01,0)</f>
        <v>0</v>
      </c>
      <c r="AA199">
        <v>49.25</v>
      </c>
      <c r="AB199">
        <v>26.5</v>
      </c>
      <c r="AC199">
        <f t="shared" si="66"/>
        <v>36.25</v>
      </c>
      <c r="AD199">
        <f t="shared" si="67"/>
        <v>-2.5434457359880275E-2</v>
      </c>
      <c r="AE199" cm="1">
        <f t="array" ref="AE199">_xlfn.IFS(AD199&gt;0.9,0,AD199&lt;0.01,0)</f>
        <v>0</v>
      </c>
      <c r="AN199">
        <v>50.25</v>
      </c>
      <c r="AO199">
        <v>27</v>
      </c>
      <c r="AP199">
        <f t="shared" si="68"/>
        <v>40.75</v>
      </c>
      <c r="AQ199">
        <f t="shared" si="69"/>
        <v>3.243914570737327E-4</v>
      </c>
      <c r="AR199" cm="1">
        <f t="array" ref="AR199">_xlfn.IFS(AQ199&gt;0.9,0,AQ199&lt;0.01,0)</f>
        <v>0</v>
      </c>
      <c r="BA199">
        <v>50.25</v>
      </c>
      <c r="BB199">
        <v>7.25</v>
      </c>
      <c r="BC199">
        <f t="shared" si="70"/>
        <v>32.5</v>
      </c>
      <c r="BD199">
        <f t="shared" si="71"/>
        <v>3.4516254886816956E-3</v>
      </c>
      <c r="BE199" cm="1">
        <f t="array" ref="BE199">_xlfn.IFS(BD199&gt;0.9,0,BD199&lt;0.01,0)</f>
        <v>0</v>
      </c>
      <c r="BN199">
        <v>50.25</v>
      </c>
      <c r="BO199">
        <v>90.25</v>
      </c>
      <c r="BP199">
        <f t="shared" si="72"/>
        <v>35.25</v>
      </c>
      <c r="BQ199">
        <f t="shared" si="73"/>
        <v>4.4394032048061553E-3</v>
      </c>
      <c r="BR199" cm="1">
        <f t="array" ref="BR199">_xlfn.IFS(BQ199&gt;0.9,0,BQ199&lt;0.01,0)</f>
        <v>0</v>
      </c>
      <c r="CA199">
        <v>50.25</v>
      </c>
      <c r="CB199">
        <v>8.25</v>
      </c>
      <c r="CC199">
        <f t="shared" si="74"/>
        <v>27</v>
      </c>
      <c r="CD199">
        <f t="shared" si="75"/>
        <v>-2.7653294135924246E-3</v>
      </c>
      <c r="CE199" cm="1">
        <f t="array" ref="CE199">_xlfn.IFS(CD199&gt;0.9,0,CD199&lt;0.01,0)</f>
        <v>0</v>
      </c>
      <c r="CN199">
        <v>50.25</v>
      </c>
      <c r="CO199">
        <v>97</v>
      </c>
      <c r="CP199">
        <f t="shared" si="76"/>
        <v>36.25</v>
      </c>
      <c r="CQ199">
        <f t="shared" si="77"/>
        <v>-7.3241068303248891E-3</v>
      </c>
      <c r="CR199" cm="1">
        <f t="array" ref="CR199">_xlfn.IFS(CQ199&gt;0.9,0,CQ199&lt;0.01,0)</f>
        <v>0</v>
      </c>
      <c r="DN199">
        <v>50.25</v>
      </c>
      <c r="DO199">
        <v>99.75</v>
      </c>
      <c r="DP199">
        <f t="shared" si="78"/>
        <v>37</v>
      </c>
      <c r="DQ199">
        <f t="shared" si="79"/>
        <v>5.8508569133403283E-4</v>
      </c>
      <c r="DR199" cm="1">
        <f t="array" ref="DR199">_xlfn.IFS(DQ199&gt;0.9,0,DQ199&lt;0.01,0)</f>
        <v>0</v>
      </c>
    </row>
    <row r="200" spans="14:122" x14ac:dyDescent="0.4">
      <c r="N200">
        <v>50.5</v>
      </c>
      <c r="O200">
        <v>7.5</v>
      </c>
      <c r="P200">
        <f t="shared" si="64"/>
        <v>28.5</v>
      </c>
      <c r="Q200">
        <f t="shared" si="65"/>
        <v>7.8126717725091033E-4</v>
      </c>
      <c r="R200" cm="1">
        <f t="array" ref="R200">_xlfn.IFS(Q200&gt;0.9,0,Q200&lt;0.01,0)</f>
        <v>0</v>
      </c>
      <c r="AA200">
        <v>49.5</v>
      </c>
      <c r="AB200">
        <v>26.5</v>
      </c>
      <c r="AC200">
        <f t="shared" si="66"/>
        <v>36.5</v>
      </c>
      <c r="AD200">
        <f t="shared" si="67"/>
        <v>-2.5434457359880275E-2</v>
      </c>
      <c r="AE200" cm="1">
        <f t="array" ref="AE200">_xlfn.IFS(AD200&gt;0.9,0,AD200&lt;0.01,0)</f>
        <v>0</v>
      </c>
      <c r="AN200">
        <v>50.5</v>
      </c>
      <c r="AO200">
        <v>27</v>
      </c>
      <c r="AP200">
        <f t="shared" si="68"/>
        <v>41</v>
      </c>
      <c r="AQ200">
        <f t="shared" si="69"/>
        <v>3.243914570737327E-4</v>
      </c>
      <c r="AR200" cm="1">
        <f t="array" ref="AR200">_xlfn.IFS(AQ200&gt;0.9,0,AQ200&lt;0.01,0)</f>
        <v>0</v>
      </c>
      <c r="BA200">
        <v>50.5</v>
      </c>
      <c r="BB200">
        <v>7.25</v>
      </c>
      <c r="BC200">
        <f t="shared" si="70"/>
        <v>32.75</v>
      </c>
      <c r="BD200">
        <f t="shared" si="71"/>
        <v>3.4516254886816956E-3</v>
      </c>
      <c r="BE200" cm="1">
        <f t="array" ref="BE200">_xlfn.IFS(BD200&gt;0.9,0,BD200&lt;0.01,0)</f>
        <v>0</v>
      </c>
      <c r="BN200">
        <v>50.5</v>
      </c>
      <c r="BO200">
        <v>90.5</v>
      </c>
      <c r="BP200">
        <f t="shared" si="72"/>
        <v>35.5</v>
      </c>
      <c r="BQ200">
        <f t="shared" si="73"/>
        <v>1.4640585037126719E-3</v>
      </c>
      <c r="BR200" cm="1">
        <f t="array" ref="BR200">_xlfn.IFS(BQ200&gt;0.9,0,BQ200&lt;0.01,0)</f>
        <v>0</v>
      </c>
      <c r="CA200">
        <v>50.5</v>
      </c>
      <c r="CB200">
        <v>8.25</v>
      </c>
      <c r="CC200">
        <f t="shared" si="74"/>
        <v>27.25</v>
      </c>
      <c r="CD200">
        <f t="shared" si="75"/>
        <v>-2.7653294135924246E-3</v>
      </c>
      <c r="CE200" cm="1">
        <f t="array" ref="CE200">_xlfn.IFS(CD200&gt;0.9,0,CD200&lt;0.01,0)</f>
        <v>0</v>
      </c>
      <c r="CN200">
        <v>50.5</v>
      </c>
      <c r="CO200">
        <v>96.75</v>
      </c>
      <c r="CP200">
        <f t="shared" si="76"/>
        <v>36.5</v>
      </c>
      <c r="CQ200">
        <f t="shared" si="77"/>
        <v>-4.541585894786624E-3</v>
      </c>
      <c r="CR200" cm="1">
        <f t="array" ref="CR200">_xlfn.IFS(CQ200&gt;0.9,0,CQ200&lt;0.01,0)</f>
        <v>0</v>
      </c>
      <c r="DN200">
        <v>50.5</v>
      </c>
      <c r="DO200">
        <v>100</v>
      </c>
      <c r="DP200">
        <f t="shared" si="78"/>
        <v>37.25</v>
      </c>
      <c r="DQ200">
        <f t="shared" si="79"/>
        <v>-2.0715196098585933E-3</v>
      </c>
      <c r="DR200" cm="1">
        <f t="array" ref="DR200">_xlfn.IFS(DQ200&gt;0.9,0,DQ200&lt;0.01,0)</f>
        <v>0</v>
      </c>
    </row>
    <row r="201" spans="14:122" x14ac:dyDescent="0.4">
      <c r="N201">
        <v>50.75</v>
      </c>
      <c r="O201">
        <v>7.5</v>
      </c>
      <c r="P201">
        <f t="shared" si="64"/>
        <v>28.75</v>
      </c>
      <c r="Q201">
        <f t="shared" si="65"/>
        <v>7.8126717725091033E-4</v>
      </c>
      <c r="R201" cm="1">
        <f t="array" ref="R201">_xlfn.IFS(Q201&gt;0.9,0,Q201&lt;0.01,0)</f>
        <v>0</v>
      </c>
      <c r="AA201">
        <v>49.75</v>
      </c>
      <c r="AB201">
        <v>26.5</v>
      </c>
      <c r="AC201">
        <f t="shared" si="66"/>
        <v>36.75</v>
      </c>
      <c r="AD201">
        <f t="shared" si="67"/>
        <v>-2.5434457359880275E-2</v>
      </c>
      <c r="AE201" cm="1">
        <f t="array" ref="AE201">_xlfn.IFS(AD201&gt;0.9,0,AD201&lt;0.01,0)</f>
        <v>0</v>
      </c>
      <c r="AN201">
        <v>50.75</v>
      </c>
      <c r="AO201">
        <v>26.75</v>
      </c>
      <c r="AP201">
        <f t="shared" si="68"/>
        <v>41.25</v>
      </c>
      <c r="AQ201">
        <f t="shared" si="69"/>
        <v>-3.0276535993549337E-3</v>
      </c>
      <c r="AR201" cm="1">
        <f t="array" ref="AR201">_xlfn.IFS(AQ201&gt;0.9,0,AQ201&lt;0.01,0)</f>
        <v>0</v>
      </c>
      <c r="BA201">
        <v>50.75</v>
      </c>
      <c r="BB201">
        <v>7.25</v>
      </c>
      <c r="BC201">
        <f t="shared" si="70"/>
        <v>33</v>
      </c>
      <c r="BD201">
        <f t="shared" si="71"/>
        <v>3.4516254886816956E-3</v>
      </c>
      <c r="BE201" cm="1">
        <f t="array" ref="BE201">_xlfn.IFS(BD201&gt;0.9,0,BD201&lt;0.01,0)</f>
        <v>0</v>
      </c>
      <c r="BN201">
        <v>50.75</v>
      </c>
      <c r="BO201">
        <v>90.5</v>
      </c>
      <c r="BP201">
        <f t="shared" si="72"/>
        <v>35.75</v>
      </c>
      <c r="BQ201">
        <f t="shared" si="73"/>
        <v>1.4640585037126719E-3</v>
      </c>
      <c r="BR201" cm="1">
        <f t="array" ref="BR201">_xlfn.IFS(BQ201&gt;0.9,0,BQ201&lt;0.01,0)</f>
        <v>0</v>
      </c>
      <c r="CA201">
        <v>50.75</v>
      </c>
      <c r="CB201">
        <v>8.25</v>
      </c>
      <c r="CC201">
        <f t="shared" si="74"/>
        <v>27.5</v>
      </c>
      <c r="CD201">
        <f t="shared" si="75"/>
        <v>-2.7653294135924246E-3</v>
      </c>
      <c r="CE201" cm="1">
        <f t="array" ref="CE201">_xlfn.IFS(CD201&gt;0.9,0,CD201&lt;0.01,0)</f>
        <v>0</v>
      </c>
      <c r="CN201">
        <v>50.75</v>
      </c>
      <c r="CO201">
        <v>96.5</v>
      </c>
      <c r="CP201">
        <f t="shared" si="76"/>
        <v>36.75</v>
      </c>
      <c r="CQ201">
        <f t="shared" si="77"/>
        <v>-1.7590649592483594E-3</v>
      </c>
      <c r="CR201" cm="1">
        <f t="array" ref="CR201">_xlfn.IFS(CQ201&gt;0.9,0,CQ201&lt;0.01,0)</f>
        <v>0</v>
      </c>
      <c r="DN201">
        <v>50.75</v>
      </c>
      <c r="DO201">
        <v>100</v>
      </c>
      <c r="DP201">
        <f t="shared" si="78"/>
        <v>37.5</v>
      </c>
      <c r="DQ201">
        <f t="shared" si="79"/>
        <v>-2.0715196098585933E-3</v>
      </c>
      <c r="DR201" cm="1">
        <f t="array" ref="DR201">_xlfn.IFS(DQ201&gt;0.9,0,DQ201&lt;0.01,0)</f>
        <v>0</v>
      </c>
    </row>
    <row r="202" spans="14:122" x14ac:dyDescent="0.4">
      <c r="N202">
        <v>51</v>
      </c>
      <c r="O202">
        <v>7.5</v>
      </c>
      <c r="P202">
        <f t="shared" si="64"/>
        <v>29</v>
      </c>
      <c r="Q202">
        <f t="shared" si="65"/>
        <v>7.8126717725091033E-4</v>
      </c>
      <c r="R202" cm="1">
        <f t="array" ref="R202">_xlfn.IFS(Q202&gt;0.9,0,Q202&lt;0.01,0)</f>
        <v>0</v>
      </c>
      <c r="AA202">
        <v>50</v>
      </c>
      <c r="AB202">
        <v>26.5</v>
      </c>
      <c r="AC202">
        <f t="shared" si="66"/>
        <v>37</v>
      </c>
      <c r="AD202">
        <f t="shared" si="67"/>
        <v>-2.5434457359880275E-2</v>
      </c>
      <c r="AE202" cm="1">
        <f t="array" ref="AE202">_xlfn.IFS(AD202&gt;0.9,0,AD202&lt;0.01,0)</f>
        <v>0</v>
      </c>
      <c r="AN202">
        <v>51</v>
      </c>
      <c r="AO202">
        <v>27</v>
      </c>
      <c r="AP202">
        <f t="shared" si="68"/>
        <v>41.5</v>
      </c>
      <c r="AQ202">
        <f t="shared" si="69"/>
        <v>3.243914570737327E-4</v>
      </c>
      <c r="AR202" cm="1">
        <f t="array" ref="AR202">_xlfn.IFS(AQ202&gt;0.9,0,AQ202&lt;0.01,0)</f>
        <v>0</v>
      </c>
      <c r="BA202">
        <v>51</v>
      </c>
      <c r="BB202">
        <v>7.25</v>
      </c>
      <c r="BC202">
        <f t="shared" si="70"/>
        <v>33.25</v>
      </c>
      <c r="BD202">
        <f t="shared" si="71"/>
        <v>3.4516254886816956E-3</v>
      </c>
      <c r="BE202" cm="1">
        <f t="array" ref="BE202">_xlfn.IFS(BD202&gt;0.9,0,BD202&lt;0.01,0)</f>
        <v>0</v>
      </c>
      <c r="BN202">
        <v>51</v>
      </c>
      <c r="BO202">
        <v>90.25</v>
      </c>
      <c r="BP202">
        <f t="shared" si="72"/>
        <v>36</v>
      </c>
      <c r="BQ202">
        <f t="shared" si="73"/>
        <v>4.4394032048061553E-3</v>
      </c>
      <c r="BR202" cm="1">
        <f t="array" ref="BR202">_xlfn.IFS(BQ202&gt;0.9,0,BQ202&lt;0.01,0)</f>
        <v>0</v>
      </c>
      <c r="CA202">
        <v>51</v>
      </c>
      <c r="CB202">
        <v>8.25</v>
      </c>
      <c r="CC202">
        <f t="shared" si="74"/>
        <v>27.75</v>
      </c>
      <c r="CD202">
        <f t="shared" si="75"/>
        <v>-2.7653294135924246E-3</v>
      </c>
      <c r="CE202" cm="1">
        <f t="array" ref="CE202">_xlfn.IFS(CD202&gt;0.9,0,CD202&lt;0.01,0)</f>
        <v>0</v>
      </c>
      <c r="CN202">
        <v>51</v>
      </c>
      <c r="CO202">
        <v>96.5</v>
      </c>
      <c r="CP202">
        <f t="shared" si="76"/>
        <v>37</v>
      </c>
      <c r="CQ202">
        <f t="shared" si="77"/>
        <v>-1.7590649592483594E-3</v>
      </c>
      <c r="CR202" cm="1">
        <f t="array" ref="CR202">_xlfn.IFS(CQ202&gt;0.9,0,CQ202&lt;0.01,0)</f>
        <v>0</v>
      </c>
      <c r="DN202">
        <v>51</v>
      </c>
      <c r="DO202">
        <v>100</v>
      </c>
      <c r="DP202">
        <f t="shared" si="78"/>
        <v>37.75</v>
      </c>
      <c r="DQ202">
        <f t="shared" si="79"/>
        <v>-2.0715196098585933E-3</v>
      </c>
      <c r="DR202" cm="1">
        <f t="array" ref="DR202">_xlfn.IFS(DQ202&gt;0.9,0,DQ202&lt;0.01,0)</f>
        <v>0</v>
      </c>
    </row>
    <row r="203" spans="14:122" x14ac:dyDescent="0.4">
      <c r="N203">
        <v>51.25</v>
      </c>
      <c r="O203">
        <v>7.5</v>
      </c>
      <c r="P203">
        <f t="shared" si="64"/>
        <v>29.25</v>
      </c>
      <c r="Q203">
        <f t="shared" si="65"/>
        <v>7.8126717725091033E-4</v>
      </c>
      <c r="R203" cm="1">
        <f t="array" ref="R203">_xlfn.IFS(Q203&gt;0.9,0,Q203&lt;0.01,0)</f>
        <v>0</v>
      </c>
      <c r="AA203">
        <v>50.25</v>
      </c>
      <c r="AB203">
        <v>26.5</v>
      </c>
      <c r="AC203">
        <f t="shared" si="66"/>
        <v>37.25</v>
      </c>
      <c r="AD203">
        <f t="shared" si="67"/>
        <v>-2.5434457359880275E-2</v>
      </c>
      <c r="AE203" cm="1">
        <f t="array" ref="AE203">_xlfn.IFS(AD203&gt;0.9,0,AD203&lt;0.01,0)</f>
        <v>0</v>
      </c>
      <c r="AN203">
        <v>51.25</v>
      </c>
      <c r="AO203">
        <v>27</v>
      </c>
      <c r="AP203">
        <f t="shared" si="68"/>
        <v>41.75</v>
      </c>
      <c r="AQ203">
        <f t="shared" si="69"/>
        <v>3.243914570737327E-4</v>
      </c>
      <c r="AR203" cm="1">
        <f t="array" ref="AR203">_xlfn.IFS(AQ203&gt;0.9,0,AQ203&lt;0.01,0)</f>
        <v>0</v>
      </c>
      <c r="BA203">
        <v>51.25</v>
      </c>
      <c r="BB203">
        <v>7.25</v>
      </c>
      <c r="BC203">
        <f t="shared" si="70"/>
        <v>33.5</v>
      </c>
      <c r="BD203">
        <f t="shared" si="71"/>
        <v>3.4516254886816956E-3</v>
      </c>
      <c r="BE203" cm="1">
        <f t="array" ref="BE203">_xlfn.IFS(BD203&gt;0.9,0,BD203&lt;0.01,0)</f>
        <v>0</v>
      </c>
      <c r="BN203">
        <v>51.25</v>
      </c>
      <c r="BO203">
        <v>90.5</v>
      </c>
      <c r="BP203">
        <f t="shared" si="72"/>
        <v>36.25</v>
      </c>
      <c r="BQ203">
        <f t="shared" si="73"/>
        <v>1.4640585037126719E-3</v>
      </c>
      <c r="BR203" cm="1">
        <f t="array" ref="BR203">_xlfn.IFS(BQ203&gt;0.9,0,BQ203&lt;0.01,0)</f>
        <v>0</v>
      </c>
      <c r="CA203">
        <v>51.25</v>
      </c>
      <c r="CB203">
        <v>8.25</v>
      </c>
      <c r="CC203">
        <f t="shared" si="74"/>
        <v>28</v>
      </c>
      <c r="CD203">
        <f t="shared" si="75"/>
        <v>-2.7653294135924246E-3</v>
      </c>
      <c r="CE203" cm="1">
        <f t="array" ref="CE203">_xlfn.IFS(CD203&gt;0.9,0,CD203&lt;0.01,0)</f>
        <v>0</v>
      </c>
      <c r="CN203">
        <v>51.25</v>
      </c>
      <c r="CO203">
        <v>96.5</v>
      </c>
      <c r="CP203">
        <f t="shared" si="76"/>
        <v>37.25</v>
      </c>
      <c r="CQ203">
        <f t="shared" si="77"/>
        <v>-1.7590649592483594E-3</v>
      </c>
      <c r="CR203" cm="1">
        <f t="array" ref="CR203">_xlfn.IFS(CQ203&gt;0.9,0,CQ203&lt;0.01,0)</f>
        <v>0</v>
      </c>
      <c r="DN203">
        <v>51.25</v>
      </c>
      <c r="DO203">
        <v>99.75</v>
      </c>
      <c r="DP203">
        <f t="shared" si="78"/>
        <v>38</v>
      </c>
      <c r="DQ203">
        <f t="shared" si="79"/>
        <v>5.8508569133403283E-4</v>
      </c>
      <c r="DR203" cm="1">
        <f t="array" ref="DR203">_xlfn.IFS(DQ203&gt;0.9,0,DQ203&lt;0.01,0)</f>
        <v>0</v>
      </c>
    </row>
    <row r="204" spans="14:122" x14ac:dyDescent="0.4">
      <c r="N204">
        <v>51.5</v>
      </c>
      <c r="O204">
        <v>7.5</v>
      </c>
      <c r="P204">
        <f t="shared" si="64"/>
        <v>29.5</v>
      </c>
      <c r="Q204">
        <f t="shared" si="65"/>
        <v>7.8126717725091033E-4</v>
      </c>
      <c r="R204" cm="1">
        <f t="array" ref="R204">_xlfn.IFS(Q204&gt;0.9,0,Q204&lt;0.01,0)</f>
        <v>0</v>
      </c>
      <c r="AA204">
        <v>50.5</v>
      </c>
      <c r="AB204">
        <v>26.25</v>
      </c>
      <c r="AC204">
        <f t="shared" si="66"/>
        <v>37.5</v>
      </c>
      <c r="AD204">
        <f t="shared" si="67"/>
        <v>-1.2228104499942426E-2</v>
      </c>
      <c r="AE204" cm="1">
        <f t="array" ref="AE204">_xlfn.IFS(AD204&gt;0.9,0,AD204&lt;0.01,0)</f>
        <v>0</v>
      </c>
      <c r="AN204">
        <v>51.5</v>
      </c>
      <c r="AO204">
        <v>26.75</v>
      </c>
      <c r="AP204">
        <f t="shared" si="68"/>
        <v>42</v>
      </c>
      <c r="AQ204">
        <f t="shared" si="69"/>
        <v>-3.0276535993549337E-3</v>
      </c>
      <c r="AR204" cm="1">
        <f t="array" ref="AR204">_xlfn.IFS(AQ204&gt;0.9,0,AQ204&lt;0.01,0)</f>
        <v>0</v>
      </c>
      <c r="BA204">
        <v>51.5</v>
      </c>
      <c r="BB204">
        <v>7.25</v>
      </c>
      <c r="BC204">
        <f t="shared" si="70"/>
        <v>33.75</v>
      </c>
      <c r="BD204">
        <f t="shared" si="71"/>
        <v>3.4516254886816956E-3</v>
      </c>
      <c r="BE204" cm="1">
        <f t="array" ref="BE204">_xlfn.IFS(BD204&gt;0.9,0,BD204&lt;0.01,0)</f>
        <v>0</v>
      </c>
      <c r="BN204">
        <v>51.5</v>
      </c>
      <c r="BO204">
        <v>90.5</v>
      </c>
      <c r="BP204">
        <f t="shared" si="72"/>
        <v>36.5</v>
      </c>
      <c r="BQ204">
        <f t="shared" si="73"/>
        <v>1.4640585037126719E-3</v>
      </c>
      <c r="BR204" cm="1">
        <f t="array" ref="BR204">_xlfn.IFS(BQ204&gt;0.9,0,BQ204&lt;0.01,0)</f>
        <v>0</v>
      </c>
      <c r="CA204">
        <v>51.5</v>
      </c>
      <c r="CB204">
        <v>8.25</v>
      </c>
      <c r="CC204">
        <f t="shared" si="74"/>
        <v>28.25</v>
      </c>
      <c r="CD204">
        <f t="shared" si="75"/>
        <v>-2.7653294135924246E-3</v>
      </c>
      <c r="CE204" cm="1">
        <f t="array" ref="CE204">_xlfn.IFS(CD204&gt;0.9,0,CD204&lt;0.01,0)</f>
        <v>0</v>
      </c>
      <c r="CN204">
        <v>51.5</v>
      </c>
      <c r="CO204">
        <v>96.25</v>
      </c>
      <c r="CP204">
        <f t="shared" si="76"/>
        <v>37.5</v>
      </c>
      <c r="CQ204">
        <f t="shared" si="77"/>
        <v>1.0234559762899056E-3</v>
      </c>
      <c r="CR204" cm="1">
        <f t="array" ref="CR204">_xlfn.IFS(CQ204&gt;0.9,0,CQ204&lt;0.01,0)</f>
        <v>0</v>
      </c>
      <c r="DN204">
        <v>51.5</v>
      </c>
      <c r="DO204">
        <v>100</v>
      </c>
      <c r="DP204">
        <f t="shared" si="78"/>
        <v>38.25</v>
      </c>
      <c r="DQ204">
        <f t="shared" si="79"/>
        <v>-2.0715196098585933E-3</v>
      </c>
      <c r="DR204" cm="1">
        <f t="array" ref="DR204">_xlfn.IFS(DQ204&gt;0.9,0,DQ204&lt;0.01,0)</f>
        <v>0</v>
      </c>
    </row>
    <row r="205" spans="14:122" x14ac:dyDescent="0.4">
      <c r="N205">
        <v>51.75</v>
      </c>
      <c r="O205">
        <v>7.5</v>
      </c>
      <c r="P205">
        <f t="shared" si="64"/>
        <v>29.75</v>
      </c>
      <c r="Q205">
        <f t="shared" si="65"/>
        <v>7.8126717725091033E-4</v>
      </c>
      <c r="R205" cm="1">
        <f t="array" ref="R205">_xlfn.IFS(Q205&gt;0.9,0,Q205&lt;0.01,0)</f>
        <v>0</v>
      </c>
      <c r="AA205">
        <v>50.75</v>
      </c>
      <c r="AB205">
        <v>26.5</v>
      </c>
      <c r="AC205">
        <f t="shared" si="66"/>
        <v>37.75</v>
      </c>
      <c r="AD205">
        <f t="shared" si="67"/>
        <v>-2.5434457359880275E-2</v>
      </c>
      <c r="AE205" cm="1">
        <f t="array" ref="AE205">_xlfn.IFS(AD205&gt;0.9,0,AD205&lt;0.01,0)</f>
        <v>0</v>
      </c>
      <c r="AN205">
        <v>51.75</v>
      </c>
      <c r="AO205">
        <v>26.75</v>
      </c>
      <c r="AP205">
        <f t="shared" si="68"/>
        <v>42.25</v>
      </c>
      <c r="AQ205">
        <f t="shared" si="69"/>
        <v>-3.0276535993549337E-3</v>
      </c>
      <c r="AR205" cm="1">
        <f t="array" ref="AR205">_xlfn.IFS(AQ205&gt;0.9,0,AQ205&lt;0.01,0)</f>
        <v>0</v>
      </c>
      <c r="BA205">
        <v>51.75</v>
      </c>
      <c r="BB205">
        <v>7.25</v>
      </c>
      <c r="BC205">
        <f t="shared" si="70"/>
        <v>34</v>
      </c>
      <c r="BD205">
        <f t="shared" si="71"/>
        <v>3.4516254886816956E-3</v>
      </c>
      <c r="BE205" cm="1">
        <f t="array" ref="BE205">_xlfn.IFS(BD205&gt;0.9,0,BD205&lt;0.01,0)</f>
        <v>0</v>
      </c>
      <c r="BN205">
        <v>51.75</v>
      </c>
      <c r="BO205">
        <v>90.5</v>
      </c>
      <c r="BP205">
        <f t="shared" si="72"/>
        <v>36.75</v>
      </c>
      <c r="BQ205">
        <f t="shared" si="73"/>
        <v>1.4640585037126719E-3</v>
      </c>
      <c r="BR205" cm="1">
        <f t="array" ref="BR205">_xlfn.IFS(BQ205&gt;0.9,0,BQ205&lt;0.01,0)</f>
        <v>0</v>
      </c>
      <c r="CA205">
        <v>51.75</v>
      </c>
      <c r="CB205">
        <v>8.25</v>
      </c>
      <c r="CC205">
        <f t="shared" si="74"/>
        <v>28.5</v>
      </c>
      <c r="CD205">
        <f t="shared" si="75"/>
        <v>-2.7653294135924246E-3</v>
      </c>
      <c r="CE205" cm="1">
        <f t="array" ref="CE205">_xlfn.IFS(CD205&gt;0.9,0,CD205&lt;0.01,0)</f>
        <v>0</v>
      </c>
      <c r="CN205">
        <v>51.75</v>
      </c>
      <c r="CO205">
        <v>96.5</v>
      </c>
      <c r="CP205">
        <f t="shared" si="76"/>
        <v>37.75</v>
      </c>
      <c r="CQ205">
        <f t="shared" si="77"/>
        <v>-1.7590649592483594E-3</v>
      </c>
      <c r="CR205" cm="1">
        <f t="array" ref="CR205">_xlfn.IFS(CQ205&gt;0.9,0,CQ205&lt;0.01,0)</f>
        <v>0</v>
      </c>
      <c r="DN205">
        <v>51.75</v>
      </c>
      <c r="DO205">
        <v>100</v>
      </c>
      <c r="DP205">
        <f t="shared" si="78"/>
        <v>38.5</v>
      </c>
      <c r="DQ205">
        <f t="shared" si="79"/>
        <v>-2.0715196098585933E-3</v>
      </c>
      <c r="DR205" cm="1">
        <f t="array" ref="DR205">_xlfn.IFS(DQ205&gt;0.9,0,DQ205&lt;0.01,0)</f>
        <v>0</v>
      </c>
    </row>
    <row r="206" spans="14:122" x14ac:dyDescent="0.4">
      <c r="N206">
        <v>52</v>
      </c>
      <c r="O206">
        <v>7.5</v>
      </c>
      <c r="P206">
        <f t="shared" si="64"/>
        <v>30</v>
      </c>
      <c r="Q206">
        <f t="shared" si="65"/>
        <v>7.8126717725091033E-4</v>
      </c>
      <c r="R206" cm="1">
        <f t="array" ref="R206">_xlfn.IFS(Q206&gt;0.9,0,Q206&lt;0.01,0)</f>
        <v>0</v>
      </c>
      <c r="AA206">
        <v>51</v>
      </c>
      <c r="AB206">
        <v>26.5</v>
      </c>
      <c r="AC206">
        <f t="shared" si="66"/>
        <v>38</v>
      </c>
      <c r="AD206">
        <f t="shared" si="67"/>
        <v>-2.5434457359880275E-2</v>
      </c>
      <c r="AE206" cm="1">
        <f t="array" ref="AE206">_xlfn.IFS(AD206&gt;0.9,0,AD206&lt;0.01,0)</f>
        <v>0</v>
      </c>
      <c r="AN206">
        <v>52</v>
      </c>
      <c r="AO206">
        <v>27</v>
      </c>
      <c r="AP206">
        <f t="shared" si="68"/>
        <v>42.5</v>
      </c>
      <c r="AQ206">
        <f t="shared" si="69"/>
        <v>3.243914570737327E-4</v>
      </c>
      <c r="AR206" cm="1">
        <f t="array" ref="AR206">_xlfn.IFS(AQ206&gt;0.9,0,AQ206&lt;0.01,0)</f>
        <v>0</v>
      </c>
      <c r="BA206">
        <v>52</v>
      </c>
      <c r="BB206">
        <v>7</v>
      </c>
      <c r="BC206">
        <f t="shared" si="70"/>
        <v>34.25</v>
      </c>
      <c r="BD206">
        <f t="shared" si="71"/>
        <v>7.6138797544449295E-4</v>
      </c>
      <c r="BE206" cm="1">
        <f t="array" ref="BE206">_xlfn.IFS(BD206&gt;0.9,0,BD206&lt;0.01,0)</f>
        <v>0</v>
      </c>
      <c r="BN206">
        <v>52</v>
      </c>
      <c r="BO206">
        <v>90.5</v>
      </c>
      <c r="BP206">
        <f t="shared" si="72"/>
        <v>37</v>
      </c>
      <c r="BQ206">
        <f t="shared" si="73"/>
        <v>1.4640585037126719E-3</v>
      </c>
      <c r="BR206" cm="1">
        <f t="array" ref="BR206">_xlfn.IFS(BQ206&gt;0.9,0,BQ206&lt;0.01,0)</f>
        <v>0</v>
      </c>
      <c r="CA206">
        <v>52</v>
      </c>
      <c r="CB206">
        <v>8.25</v>
      </c>
      <c r="CC206">
        <f t="shared" si="74"/>
        <v>28.75</v>
      </c>
      <c r="CD206">
        <f t="shared" si="75"/>
        <v>-2.7653294135924246E-3</v>
      </c>
      <c r="CE206" cm="1">
        <f t="array" ref="CE206">_xlfn.IFS(CD206&gt;0.9,0,CD206&lt;0.01,0)</f>
        <v>0</v>
      </c>
      <c r="CN206">
        <v>52</v>
      </c>
      <c r="CO206">
        <v>96.5</v>
      </c>
      <c r="CP206">
        <f t="shared" si="76"/>
        <v>38</v>
      </c>
      <c r="CQ206">
        <f t="shared" si="77"/>
        <v>-1.7590649592483594E-3</v>
      </c>
      <c r="CR206" cm="1">
        <f t="array" ref="CR206">_xlfn.IFS(CQ206&gt;0.9,0,CQ206&lt;0.01,0)</f>
        <v>0</v>
      </c>
      <c r="DN206">
        <v>52</v>
      </c>
      <c r="DO206">
        <v>100</v>
      </c>
      <c r="DP206">
        <f t="shared" si="78"/>
        <v>38.75</v>
      </c>
      <c r="DQ206">
        <f t="shared" si="79"/>
        <v>-2.0715196098585933E-3</v>
      </c>
      <c r="DR206" cm="1">
        <f t="array" ref="DR206">_xlfn.IFS(DQ206&gt;0.9,0,DQ206&lt;0.01,0)</f>
        <v>0</v>
      </c>
    </row>
    <row r="207" spans="14:122" x14ac:dyDescent="0.4">
      <c r="N207">
        <v>52.25</v>
      </c>
      <c r="O207">
        <v>7.5</v>
      </c>
      <c r="P207">
        <f t="shared" si="64"/>
        <v>30.25</v>
      </c>
      <c r="Q207">
        <f t="shared" si="65"/>
        <v>7.8126717725091033E-4</v>
      </c>
      <c r="R207" cm="1">
        <f t="array" ref="R207">_xlfn.IFS(Q207&gt;0.9,0,Q207&lt;0.01,0)</f>
        <v>0</v>
      </c>
      <c r="AA207">
        <v>51.25</v>
      </c>
      <c r="AB207">
        <v>26.5</v>
      </c>
      <c r="AC207">
        <f t="shared" si="66"/>
        <v>38.25</v>
      </c>
      <c r="AD207">
        <f t="shared" si="67"/>
        <v>-2.5434457359880275E-2</v>
      </c>
      <c r="AE207" cm="1">
        <f t="array" ref="AE207">_xlfn.IFS(AD207&gt;0.9,0,AD207&lt;0.01,0)</f>
        <v>0</v>
      </c>
      <c r="AN207">
        <v>52.25</v>
      </c>
      <c r="AO207">
        <v>27</v>
      </c>
      <c r="AP207">
        <f t="shared" si="68"/>
        <v>42.75</v>
      </c>
      <c r="AQ207">
        <f t="shared" si="69"/>
        <v>3.243914570737327E-4</v>
      </c>
      <c r="AR207" cm="1">
        <f t="array" ref="AR207">_xlfn.IFS(AQ207&gt;0.9,0,AQ207&lt;0.01,0)</f>
        <v>0</v>
      </c>
      <c r="BA207">
        <v>52.25</v>
      </c>
      <c r="BB207">
        <v>7</v>
      </c>
      <c r="BC207">
        <f t="shared" si="70"/>
        <v>34.5</v>
      </c>
      <c r="BD207">
        <f t="shared" si="71"/>
        <v>7.6138797544449295E-4</v>
      </c>
      <c r="BE207" cm="1">
        <f t="array" ref="BE207">_xlfn.IFS(BD207&gt;0.9,0,BD207&lt;0.01,0)</f>
        <v>0</v>
      </c>
      <c r="BN207">
        <v>52.25</v>
      </c>
      <c r="BO207">
        <v>90.5</v>
      </c>
      <c r="BP207">
        <f t="shared" si="72"/>
        <v>37.25</v>
      </c>
      <c r="BQ207">
        <f t="shared" si="73"/>
        <v>1.4640585037126719E-3</v>
      </c>
      <c r="BR207" cm="1">
        <f t="array" ref="BR207">_xlfn.IFS(BQ207&gt;0.9,0,BQ207&lt;0.01,0)</f>
        <v>0</v>
      </c>
      <c r="CA207">
        <v>52.25</v>
      </c>
      <c r="CB207">
        <v>8.25</v>
      </c>
      <c r="CC207">
        <f t="shared" si="74"/>
        <v>29</v>
      </c>
      <c r="CD207">
        <f t="shared" si="75"/>
        <v>-2.7653294135924246E-3</v>
      </c>
      <c r="CE207" cm="1">
        <f t="array" ref="CE207">_xlfn.IFS(CD207&gt;0.9,0,CD207&lt;0.01,0)</f>
        <v>0</v>
      </c>
      <c r="CN207">
        <v>52.25</v>
      </c>
      <c r="CO207">
        <v>96.5</v>
      </c>
      <c r="CP207">
        <f t="shared" si="76"/>
        <v>38.25</v>
      </c>
      <c r="CQ207">
        <f t="shared" si="77"/>
        <v>-1.7590649592483594E-3</v>
      </c>
      <c r="CR207" cm="1">
        <f t="array" ref="CR207">_xlfn.IFS(CQ207&gt;0.9,0,CQ207&lt;0.01,0)</f>
        <v>0</v>
      </c>
      <c r="DN207">
        <v>52.25</v>
      </c>
      <c r="DO207">
        <v>100</v>
      </c>
      <c r="DP207">
        <f t="shared" si="78"/>
        <v>39</v>
      </c>
      <c r="DQ207">
        <f t="shared" si="79"/>
        <v>-2.0715196098585933E-3</v>
      </c>
      <c r="DR207" cm="1">
        <f t="array" ref="DR207">_xlfn.IFS(DQ207&gt;0.9,0,DQ207&lt;0.01,0)</f>
        <v>0</v>
      </c>
    </row>
    <row r="208" spans="14:122" x14ac:dyDescent="0.4">
      <c r="N208">
        <v>52.5</v>
      </c>
      <c r="O208">
        <v>7.5</v>
      </c>
      <c r="P208">
        <f t="shared" si="64"/>
        <v>30.5</v>
      </c>
      <c r="Q208">
        <f t="shared" si="65"/>
        <v>7.8126717725091033E-4</v>
      </c>
      <c r="R208" cm="1">
        <f t="array" ref="R208">_xlfn.IFS(Q208&gt;0.9,0,Q208&lt;0.01,0)</f>
        <v>0</v>
      </c>
      <c r="AA208">
        <v>51.5</v>
      </c>
      <c r="AB208">
        <v>26.25</v>
      </c>
      <c r="AC208">
        <f t="shared" si="66"/>
        <v>38.5</v>
      </c>
      <c r="AD208">
        <f t="shared" si="67"/>
        <v>-1.2228104499942426E-2</v>
      </c>
      <c r="AE208" cm="1">
        <f t="array" ref="AE208">_xlfn.IFS(AD208&gt;0.9,0,AD208&lt;0.01,0)</f>
        <v>0</v>
      </c>
      <c r="AN208">
        <v>52.5</v>
      </c>
      <c r="AO208">
        <v>27</v>
      </c>
      <c r="AP208">
        <f t="shared" si="68"/>
        <v>43</v>
      </c>
      <c r="AQ208">
        <f t="shared" si="69"/>
        <v>3.243914570737327E-4</v>
      </c>
      <c r="AR208" cm="1">
        <f t="array" ref="AR208">_xlfn.IFS(AQ208&gt;0.9,0,AQ208&lt;0.01,0)</f>
        <v>0</v>
      </c>
      <c r="BA208">
        <v>52.5</v>
      </c>
      <c r="BB208">
        <v>7</v>
      </c>
      <c r="BC208">
        <f t="shared" si="70"/>
        <v>34.75</v>
      </c>
      <c r="BD208">
        <f t="shared" si="71"/>
        <v>7.6138797544449295E-4</v>
      </c>
      <c r="BE208" cm="1">
        <f t="array" ref="BE208">_xlfn.IFS(BD208&gt;0.9,0,BD208&lt;0.01,0)</f>
        <v>0</v>
      </c>
      <c r="BN208">
        <v>52.5</v>
      </c>
      <c r="BO208">
        <v>90.5</v>
      </c>
      <c r="BP208">
        <f t="shared" si="72"/>
        <v>37.5</v>
      </c>
      <c r="BQ208">
        <f t="shared" si="73"/>
        <v>1.4640585037126719E-3</v>
      </c>
      <c r="BR208" cm="1">
        <f t="array" ref="BR208">_xlfn.IFS(BQ208&gt;0.9,0,BQ208&lt;0.01,0)</f>
        <v>0</v>
      </c>
      <c r="CA208">
        <v>52.5</v>
      </c>
      <c r="CB208">
        <v>8</v>
      </c>
      <c r="CC208">
        <f t="shared" si="74"/>
        <v>29.25</v>
      </c>
      <c r="CD208">
        <f t="shared" si="75"/>
        <v>-5.7433764743842599E-3</v>
      </c>
      <c r="CE208" cm="1">
        <f t="array" ref="CE208">_xlfn.IFS(CD208&gt;0.9,0,CD208&lt;0.01,0)</f>
        <v>0</v>
      </c>
      <c r="CN208">
        <v>52.5</v>
      </c>
      <c r="CO208">
        <v>96.25</v>
      </c>
      <c r="CP208">
        <f t="shared" si="76"/>
        <v>38.5</v>
      </c>
      <c r="CQ208">
        <f t="shared" si="77"/>
        <v>1.0234559762899056E-3</v>
      </c>
      <c r="CR208" cm="1">
        <f t="array" ref="CR208">_xlfn.IFS(CQ208&gt;0.9,0,CQ208&lt;0.01,0)</f>
        <v>0</v>
      </c>
      <c r="DN208">
        <v>52.5</v>
      </c>
      <c r="DO208">
        <v>100</v>
      </c>
      <c r="DP208">
        <f t="shared" si="78"/>
        <v>39.25</v>
      </c>
      <c r="DQ208">
        <f t="shared" si="79"/>
        <v>-2.0715196098585933E-3</v>
      </c>
      <c r="DR208" cm="1">
        <f t="array" ref="DR208">_xlfn.IFS(DQ208&gt;0.9,0,DQ208&lt;0.01,0)</f>
        <v>0</v>
      </c>
    </row>
    <row r="209" spans="14:122" x14ac:dyDescent="0.4">
      <c r="N209">
        <v>52.75</v>
      </c>
      <c r="O209">
        <v>7.25</v>
      </c>
      <c r="P209">
        <f t="shared" si="64"/>
        <v>30.75</v>
      </c>
      <c r="Q209">
        <f t="shared" si="65"/>
        <v>-1.8630217303675439E-3</v>
      </c>
      <c r="R209" cm="1">
        <f t="array" ref="R209">_xlfn.IFS(Q209&gt;0.9,0,Q209&lt;0.01,0)</f>
        <v>0</v>
      </c>
      <c r="AA209">
        <v>51.75</v>
      </c>
      <c r="AB209">
        <v>26.5</v>
      </c>
      <c r="AC209">
        <f t="shared" si="66"/>
        <v>38.75</v>
      </c>
      <c r="AD209">
        <f t="shared" si="67"/>
        <v>-2.5434457359880275E-2</v>
      </c>
      <c r="AE209" cm="1">
        <f t="array" ref="AE209">_xlfn.IFS(AD209&gt;0.9,0,AD209&lt;0.01,0)</f>
        <v>0</v>
      </c>
      <c r="AN209">
        <v>52.75</v>
      </c>
      <c r="AO209">
        <v>27</v>
      </c>
      <c r="AP209">
        <f t="shared" si="68"/>
        <v>43.25</v>
      </c>
      <c r="AQ209">
        <f t="shared" si="69"/>
        <v>3.243914570737327E-4</v>
      </c>
      <c r="AR209" cm="1">
        <f t="array" ref="AR209">_xlfn.IFS(AQ209&gt;0.9,0,AQ209&lt;0.01,0)</f>
        <v>0</v>
      </c>
      <c r="BA209">
        <v>52.75</v>
      </c>
      <c r="BB209">
        <v>7</v>
      </c>
      <c r="BC209">
        <f t="shared" si="70"/>
        <v>35</v>
      </c>
      <c r="BD209">
        <f t="shared" si="71"/>
        <v>7.6138797544449295E-4</v>
      </c>
      <c r="BE209" cm="1">
        <f t="array" ref="BE209">_xlfn.IFS(BD209&gt;0.9,0,BD209&lt;0.01,0)</f>
        <v>0</v>
      </c>
      <c r="BN209">
        <v>52.75</v>
      </c>
      <c r="BO209">
        <v>90.5</v>
      </c>
      <c r="BP209">
        <f t="shared" si="72"/>
        <v>37.75</v>
      </c>
      <c r="BQ209">
        <f t="shared" si="73"/>
        <v>1.4640585037126719E-3</v>
      </c>
      <c r="BR209" cm="1">
        <f t="array" ref="BR209">_xlfn.IFS(BQ209&gt;0.9,0,BQ209&lt;0.01,0)</f>
        <v>0</v>
      </c>
      <c r="CA209">
        <v>52.75</v>
      </c>
      <c r="CB209">
        <v>8</v>
      </c>
      <c r="CC209">
        <f t="shared" si="74"/>
        <v>29.5</v>
      </c>
      <c r="CD209">
        <f t="shared" si="75"/>
        <v>-5.7433764743842599E-3</v>
      </c>
      <c r="CE209" cm="1">
        <f t="array" ref="CE209">_xlfn.IFS(CD209&gt;0.9,0,CD209&lt;0.01,0)</f>
        <v>0</v>
      </c>
      <c r="CN209">
        <v>52.75</v>
      </c>
      <c r="CO209">
        <v>96.25</v>
      </c>
      <c r="CP209">
        <f t="shared" si="76"/>
        <v>38.75</v>
      </c>
      <c r="CQ209">
        <f t="shared" si="77"/>
        <v>1.0234559762899056E-3</v>
      </c>
      <c r="CR209" cm="1">
        <f t="array" ref="CR209">_xlfn.IFS(CQ209&gt;0.9,0,CQ209&lt;0.01,0)</f>
        <v>0</v>
      </c>
      <c r="DN209">
        <v>52.75</v>
      </c>
      <c r="DO209">
        <v>100</v>
      </c>
      <c r="DP209">
        <f t="shared" si="78"/>
        <v>39.5</v>
      </c>
      <c r="DQ209">
        <f t="shared" si="79"/>
        <v>-2.0715196098585933E-3</v>
      </c>
      <c r="DR209" cm="1">
        <f t="array" ref="DR209">_xlfn.IFS(DQ209&gt;0.9,0,DQ209&lt;0.01,0)</f>
        <v>0</v>
      </c>
    </row>
    <row r="210" spans="14:122" x14ac:dyDescent="0.4">
      <c r="N210">
        <v>53</v>
      </c>
      <c r="O210">
        <v>7.25</v>
      </c>
      <c r="P210">
        <f t="shared" si="64"/>
        <v>31</v>
      </c>
      <c r="Q210">
        <f t="shared" si="65"/>
        <v>-1.8630217303675439E-3</v>
      </c>
      <c r="R210" cm="1">
        <f t="array" ref="R210">_xlfn.IFS(Q210&gt;0.9,0,Q210&lt;0.01,0)</f>
        <v>0</v>
      </c>
      <c r="AA210">
        <v>52</v>
      </c>
      <c r="AB210">
        <v>26.5</v>
      </c>
      <c r="AC210">
        <f t="shared" si="66"/>
        <v>39</v>
      </c>
      <c r="AD210">
        <f t="shared" si="67"/>
        <v>-2.5434457359880275E-2</v>
      </c>
      <c r="AE210" cm="1">
        <f t="array" ref="AE210">_xlfn.IFS(AD210&gt;0.9,0,AD210&lt;0.01,0)</f>
        <v>0</v>
      </c>
      <c r="AN210">
        <v>53</v>
      </c>
      <c r="AO210">
        <v>26.75</v>
      </c>
      <c r="AP210">
        <f t="shared" si="68"/>
        <v>43.5</v>
      </c>
      <c r="AQ210">
        <f t="shared" si="69"/>
        <v>-3.0276535993549337E-3</v>
      </c>
      <c r="AR210" cm="1">
        <f t="array" ref="AR210">_xlfn.IFS(AQ210&gt;0.9,0,AQ210&lt;0.01,0)</f>
        <v>0</v>
      </c>
      <c r="BA210">
        <v>53</v>
      </c>
      <c r="BB210">
        <v>7</v>
      </c>
      <c r="BC210">
        <f t="shared" si="70"/>
        <v>35.25</v>
      </c>
      <c r="BD210">
        <f t="shared" si="71"/>
        <v>7.6138797544449295E-4</v>
      </c>
      <c r="BE210" cm="1">
        <f t="array" ref="BE210">_xlfn.IFS(BD210&gt;0.9,0,BD210&lt;0.01,0)</f>
        <v>0</v>
      </c>
      <c r="BN210">
        <v>53</v>
      </c>
      <c r="BO210">
        <v>90.5</v>
      </c>
      <c r="BP210">
        <f t="shared" si="72"/>
        <v>38</v>
      </c>
      <c r="BQ210">
        <f t="shared" si="73"/>
        <v>1.4640585037126719E-3</v>
      </c>
      <c r="BR210" cm="1">
        <f t="array" ref="BR210">_xlfn.IFS(BQ210&gt;0.9,0,BQ210&lt;0.01,0)</f>
        <v>0</v>
      </c>
      <c r="CA210">
        <v>53</v>
      </c>
      <c r="CB210">
        <v>8</v>
      </c>
      <c r="CC210">
        <f t="shared" si="74"/>
        <v>29.75</v>
      </c>
      <c r="CD210">
        <f t="shared" si="75"/>
        <v>-5.7433764743842599E-3</v>
      </c>
      <c r="CE210" cm="1">
        <f t="array" ref="CE210">_xlfn.IFS(CD210&gt;0.9,0,CD210&lt;0.01,0)</f>
        <v>0</v>
      </c>
      <c r="CN210">
        <v>53</v>
      </c>
      <c r="CO210">
        <v>96.5</v>
      </c>
      <c r="CP210">
        <f t="shared" si="76"/>
        <v>39</v>
      </c>
      <c r="CQ210">
        <f t="shared" si="77"/>
        <v>-1.7590649592483594E-3</v>
      </c>
      <c r="CR210" cm="1">
        <f t="array" ref="CR210">_xlfn.IFS(CQ210&gt;0.9,0,CQ210&lt;0.01,0)</f>
        <v>0</v>
      </c>
      <c r="DN210">
        <v>53</v>
      </c>
      <c r="DO210">
        <v>100</v>
      </c>
      <c r="DP210">
        <f t="shared" si="78"/>
        <v>39.75</v>
      </c>
      <c r="DQ210">
        <f t="shared" si="79"/>
        <v>-2.0715196098585933E-3</v>
      </c>
      <c r="DR210" cm="1">
        <f t="array" ref="DR210">_xlfn.IFS(DQ210&gt;0.9,0,DQ210&lt;0.01,0)</f>
        <v>0</v>
      </c>
    </row>
    <row r="211" spans="14:122" x14ac:dyDescent="0.4">
      <c r="N211">
        <v>53.25</v>
      </c>
      <c r="O211">
        <v>7.25</v>
      </c>
      <c r="P211">
        <f t="shared" si="64"/>
        <v>31.25</v>
      </c>
      <c r="Q211">
        <f t="shared" si="65"/>
        <v>-1.8630217303675439E-3</v>
      </c>
      <c r="R211" cm="1">
        <f t="array" ref="R211">_xlfn.IFS(Q211&gt;0.9,0,Q211&lt;0.01,0)</f>
        <v>0</v>
      </c>
      <c r="AA211">
        <v>52.25</v>
      </c>
      <c r="AB211">
        <v>26.5</v>
      </c>
      <c r="AC211">
        <f t="shared" si="66"/>
        <v>39.25</v>
      </c>
      <c r="AD211">
        <f t="shared" si="67"/>
        <v>-2.5434457359880275E-2</v>
      </c>
      <c r="AE211" cm="1">
        <f t="array" ref="AE211">_xlfn.IFS(AD211&gt;0.9,0,AD211&lt;0.01,0)</f>
        <v>0</v>
      </c>
      <c r="AN211">
        <v>53.25</v>
      </c>
      <c r="AO211">
        <v>26.75</v>
      </c>
      <c r="AP211">
        <f t="shared" si="68"/>
        <v>43.75</v>
      </c>
      <c r="AQ211">
        <f t="shared" si="69"/>
        <v>-3.0276535993549337E-3</v>
      </c>
      <c r="AR211" cm="1">
        <f t="array" ref="AR211">_xlfn.IFS(AQ211&gt;0.9,0,AQ211&lt;0.01,0)</f>
        <v>0</v>
      </c>
      <c r="BA211">
        <v>53.25</v>
      </c>
      <c r="BB211">
        <v>7</v>
      </c>
      <c r="BC211">
        <f t="shared" si="70"/>
        <v>35.5</v>
      </c>
      <c r="BD211">
        <f t="shared" si="71"/>
        <v>7.6138797544449295E-4</v>
      </c>
      <c r="BE211" cm="1">
        <f t="array" ref="BE211">_xlfn.IFS(BD211&gt;0.9,0,BD211&lt;0.01,0)</f>
        <v>0</v>
      </c>
      <c r="BN211">
        <v>53.25</v>
      </c>
      <c r="BO211">
        <v>90.5</v>
      </c>
      <c r="BP211">
        <f t="shared" si="72"/>
        <v>38.25</v>
      </c>
      <c r="BQ211">
        <f t="shared" si="73"/>
        <v>1.4640585037126719E-3</v>
      </c>
      <c r="BR211" cm="1">
        <f t="array" ref="BR211">_xlfn.IFS(BQ211&gt;0.9,0,BQ211&lt;0.01,0)</f>
        <v>0</v>
      </c>
      <c r="CA211">
        <v>53.25</v>
      </c>
      <c r="CB211">
        <v>8</v>
      </c>
      <c r="CC211">
        <f t="shared" si="74"/>
        <v>30</v>
      </c>
      <c r="CD211">
        <f t="shared" si="75"/>
        <v>-5.7433764743842599E-3</v>
      </c>
      <c r="CE211" cm="1">
        <f t="array" ref="CE211">_xlfn.IFS(CD211&gt;0.9,0,CD211&lt;0.01,0)</f>
        <v>0</v>
      </c>
      <c r="CN211">
        <v>53.25</v>
      </c>
      <c r="CO211">
        <v>97</v>
      </c>
      <c r="CP211">
        <f t="shared" si="76"/>
        <v>39.25</v>
      </c>
      <c r="CQ211">
        <f t="shared" si="77"/>
        <v>-7.3241068303248891E-3</v>
      </c>
      <c r="CR211" cm="1">
        <f t="array" ref="CR211">_xlfn.IFS(CQ211&gt;0.9,0,CQ211&lt;0.01,0)</f>
        <v>0</v>
      </c>
      <c r="DN211">
        <v>53.25</v>
      </c>
      <c r="DO211">
        <v>100</v>
      </c>
      <c r="DP211">
        <f t="shared" si="78"/>
        <v>40</v>
      </c>
      <c r="DQ211">
        <f t="shared" si="79"/>
        <v>-2.0715196098585933E-3</v>
      </c>
      <c r="DR211" cm="1">
        <f t="array" ref="DR211">_xlfn.IFS(DQ211&gt;0.9,0,DQ211&lt;0.01,0)</f>
        <v>0</v>
      </c>
    </row>
    <row r="212" spans="14:122" x14ac:dyDescent="0.4">
      <c r="N212">
        <v>53.5</v>
      </c>
      <c r="O212">
        <v>7.25</v>
      </c>
      <c r="P212">
        <f t="shared" si="64"/>
        <v>31.5</v>
      </c>
      <c r="Q212">
        <f t="shared" si="65"/>
        <v>-1.8630217303675439E-3</v>
      </c>
      <c r="R212" cm="1">
        <f t="array" ref="R212">_xlfn.IFS(Q212&gt;0.9,0,Q212&lt;0.01,0)</f>
        <v>0</v>
      </c>
      <c r="AA212">
        <v>52.5</v>
      </c>
      <c r="AB212">
        <v>26.5</v>
      </c>
      <c r="AC212">
        <f t="shared" si="66"/>
        <v>39.5</v>
      </c>
      <c r="AD212">
        <f t="shared" si="67"/>
        <v>-2.5434457359880275E-2</v>
      </c>
      <c r="AE212" cm="1">
        <f t="array" ref="AE212">_xlfn.IFS(AD212&gt;0.9,0,AD212&lt;0.01,0)</f>
        <v>0</v>
      </c>
      <c r="AN212">
        <v>53.5</v>
      </c>
      <c r="AO212">
        <v>27</v>
      </c>
      <c r="AP212">
        <f t="shared" si="68"/>
        <v>44</v>
      </c>
      <c r="AQ212">
        <f t="shared" si="69"/>
        <v>3.243914570737327E-4</v>
      </c>
      <c r="AR212" cm="1">
        <f t="array" ref="AR212">_xlfn.IFS(AQ212&gt;0.9,0,AQ212&lt;0.01,0)</f>
        <v>0</v>
      </c>
      <c r="BA212">
        <v>53.5</v>
      </c>
      <c r="BB212">
        <v>7</v>
      </c>
      <c r="BC212">
        <f t="shared" si="70"/>
        <v>35.75</v>
      </c>
      <c r="BD212">
        <f t="shared" si="71"/>
        <v>7.6138797544449295E-4</v>
      </c>
      <c r="BE212" cm="1">
        <f t="array" ref="BE212">_xlfn.IFS(BD212&gt;0.9,0,BD212&lt;0.01,0)</f>
        <v>0</v>
      </c>
      <c r="BN212">
        <v>53.5</v>
      </c>
      <c r="BO212">
        <v>90.5</v>
      </c>
      <c r="BP212">
        <f t="shared" si="72"/>
        <v>38.5</v>
      </c>
      <c r="BQ212">
        <f t="shared" si="73"/>
        <v>1.4640585037126719E-3</v>
      </c>
      <c r="BR212" cm="1">
        <f t="array" ref="BR212">_xlfn.IFS(BQ212&gt;0.9,0,BQ212&lt;0.01,0)</f>
        <v>0</v>
      </c>
      <c r="CA212">
        <v>53.5</v>
      </c>
      <c r="CB212">
        <v>8</v>
      </c>
      <c r="CC212">
        <f t="shared" si="74"/>
        <v>30.25</v>
      </c>
      <c r="CD212">
        <f t="shared" si="75"/>
        <v>-5.7433764743842599E-3</v>
      </c>
      <c r="CE212" cm="1">
        <f t="array" ref="CE212">_xlfn.IFS(CD212&gt;0.9,0,CD212&lt;0.01,0)</f>
        <v>0</v>
      </c>
      <c r="CN212">
        <v>53.5</v>
      </c>
      <c r="CO212">
        <v>97</v>
      </c>
      <c r="CP212">
        <f t="shared" si="76"/>
        <v>39.5</v>
      </c>
      <c r="CQ212">
        <f t="shared" si="77"/>
        <v>-7.3241068303248891E-3</v>
      </c>
      <c r="CR212" cm="1">
        <f t="array" ref="CR212">_xlfn.IFS(CQ212&gt;0.9,0,CQ212&lt;0.01,0)</f>
        <v>0</v>
      </c>
      <c r="DN212">
        <v>53.5</v>
      </c>
      <c r="DO212">
        <v>100</v>
      </c>
      <c r="DP212">
        <f t="shared" si="78"/>
        <v>40.25</v>
      </c>
      <c r="DQ212">
        <f t="shared" si="79"/>
        <v>-2.0715196098585933E-3</v>
      </c>
      <c r="DR212" cm="1">
        <f t="array" ref="DR212">_xlfn.IFS(DQ212&gt;0.9,0,DQ212&lt;0.01,0)</f>
        <v>0</v>
      </c>
    </row>
    <row r="213" spans="14:122" x14ac:dyDescent="0.4">
      <c r="N213">
        <v>53.75</v>
      </c>
      <c r="O213">
        <v>7.25</v>
      </c>
      <c r="P213">
        <f t="shared" si="64"/>
        <v>31.75</v>
      </c>
      <c r="Q213">
        <f t="shared" si="65"/>
        <v>-1.8630217303675439E-3</v>
      </c>
      <c r="R213" cm="1">
        <f t="array" ref="R213">_xlfn.IFS(Q213&gt;0.9,0,Q213&lt;0.01,0)</f>
        <v>0</v>
      </c>
      <c r="AA213">
        <v>52.75</v>
      </c>
      <c r="AB213">
        <v>26.5</v>
      </c>
      <c r="AC213">
        <f t="shared" si="66"/>
        <v>39.75</v>
      </c>
      <c r="AD213">
        <f t="shared" si="67"/>
        <v>-2.5434457359880275E-2</v>
      </c>
      <c r="AE213" cm="1">
        <f t="array" ref="AE213">_xlfn.IFS(AD213&gt;0.9,0,AD213&lt;0.01,0)</f>
        <v>0</v>
      </c>
      <c r="AN213">
        <v>53.75</v>
      </c>
      <c r="AO213">
        <v>27</v>
      </c>
      <c r="AP213">
        <f t="shared" si="68"/>
        <v>44.25</v>
      </c>
      <c r="AQ213">
        <f t="shared" si="69"/>
        <v>3.243914570737327E-4</v>
      </c>
      <c r="AR213" cm="1">
        <f t="array" ref="AR213">_xlfn.IFS(AQ213&gt;0.9,0,AQ213&lt;0.01,0)</f>
        <v>0</v>
      </c>
      <c r="BA213">
        <v>53.75</v>
      </c>
      <c r="BB213">
        <v>7</v>
      </c>
      <c r="BC213">
        <f t="shared" si="70"/>
        <v>36</v>
      </c>
      <c r="BD213">
        <f t="shared" si="71"/>
        <v>7.6138797544449295E-4</v>
      </c>
      <c r="BE213" cm="1">
        <f t="array" ref="BE213">_xlfn.IFS(BD213&gt;0.9,0,BD213&lt;0.01,0)</f>
        <v>0</v>
      </c>
      <c r="BN213">
        <v>53.75</v>
      </c>
      <c r="BO213">
        <v>90.5</v>
      </c>
      <c r="BP213">
        <f t="shared" si="72"/>
        <v>38.75</v>
      </c>
      <c r="BQ213">
        <f t="shared" si="73"/>
        <v>1.4640585037126719E-3</v>
      </c>
      <c r="BR213" cm="1">
        <f t="array" ref="BR213">_xlfn.IFS(BQ213&gt;0.9,0,BQ213&lt;0.01,0)</f>
        <v>0</v>
      </c>
      <c r="CA213">
        <v>53.75</v>
      </c>
      <c r="CB213">
        <v>8</v>
      </c>
      <c r="CC213">
        <f t="shared" si="74"/>
        <v>30.5</v>
      </c>
      <c r="CD213">
        <f t="shared" si="75"/>
        <v>-5.7433764743842599E-3</v>
      </c>
      <c r="CE213" cm="1">
        <f t="array" ref="CE213">_xlfn.IFS(CD213&gt;0.9,0,CD213&lt;0.01,0)</f>
        <v>0</v>
      </c>
      <c r="CN213">
        <v>53.75</v>
      </c>
      <c r="CO213">
        <v>97</v>
      </c>
      <c r="CP213">
        <f t="shared" si="76"/>
        <v>39.75</v>
      </c>
      <c r="CQ213">
        <f t="shared" si="77"/>
        <v>-7.3241068303248891E-3</v>
      </c>
      <c r="CR213" cm="1">
        <f t="array" ref="CR213">_xlfn.IFS(CQ213&gt;0.9,0,CQ213&lt;0.01,0)</f>
        <v>0</v>
      </c>
      <c r="DN213">
        <v>53.75</v>
      </c>
      <c r="DO213">
        <v>100</v>
      </c>
      <c r="DP213">
        <f t="shared" si="78"/>
        <v>40.5</v>
      </c>
      <c r="DQ213">
        <f t="shared" si="79"/>
        <v>-2.0715196098585933E-3</v>
      </c>
      <c r="DR213" cm="1">
        <f t="array" ref="DR213">_xlfn.IFS(DQ213&gt;0.9,0,DQ213&lt;0.01,0)</f>
        <v>0</v>
      </c>
    </row>
    <row r="214" spans="14:122" x14ac:dyDescent="0.4">
      <c r="N214">
        <v>54</v>
      </c>
      <c r="O214">
        <v>7.25</v>
      </c>
      <c r="P214">
        <f t="shared" si="64"/>
        <v>32</v>
      </c>
      <c r="Q214">
        <f t="shared" si="65"/>
        <v>-1.8630217303675439E-3</v>
      </c>
      <c r="R214" cm="1">
        <f t="array" ref="R214">_xlfn.IFS(Q214&gt;0.9,0,Q214&lt;0.01,0)</f>
        <v>0</v>
      </c>
      <c r="AA214">
        <v>53</v>
      </c>
      <c r="AB214">
        <v>26.5</v>
      </c>
      <c r="AC214">
        <f t="shared" si="66"/>
        <v>40</v>
      </c>
      <c r="AD214">
        <f t="shared" si="67"/>
        <v>-2.5434457359880275E-2</v>
      </c>
      <c r="AE214" cm="1">
        <f t="array" ref="AE214">_xlfn.IFS(AD214&gt;0.9,0,AD214&lt;0.01,0)</f>
        <v>0</v>
      </c>
      <c r="AN214">
        <v>54</v>
      </c>
      <c r="AO214">
        <v>26.75</v>
      </c>
      <c r="AP214">
        <f t="shared" si="68"/>
        <v>44.5</v>
      </c>
      <c r="AQ214">
        <f t="shared" si="69"/>
        <v>-3.0276535993549337E-3</v>
      </c>
      <c r="AR214" cm="1">
        <f t="array" ref="AR214">_xlfn.IFS(AQ214&gt;0.9,0,AQ214&lt;0.01,0)</f>
        <v>0</v>
      </c>
      <c r="BA214">
        <v>54</v>
      </c>
      <c r="BB214">
        <v>7</v>
      </c>
      <c r="BC214">
        <f t="shared" si="70"/>
        <v>36.25</v>
      </c>
      <c r="BD214">
        <f t="shared" si="71"/>
        <v>7.6138797544449295E-4</v>
      </c>
      <c r="BE214" cm="1">
        <f t="array" ref="BE214">_xlfn.IFS(BD214&gt;0.9,0,BD214&lt;0.01,0)</f>
        <v>0</v>
      </c>
      <c r="BN214">
        <v>54</v>
      </c>
      <c r="BO214">
        <v>90.5</v>
      </c>
      <c r="BP214">
        <f t="shared" si="72"/>
        <v>39</v>
      </c>
      <c r="BQ214">
        <f t="shared" si="73"/>
        <v>1.4640585037126719E-3</v>
      </c>
      <c r="BR214" cm="1">
        <f t="array" ref="BR214">_xlfn.IFS(BQ214&gt;0.9,0,BQ214&lt;0.01,0)</f>
        <v>0</v>
      </c>
      <c r="CA214">
        <v>54</v>
      </c>
      <c r="CB214">
        <v>8</v>
      </c>
      <c r="CC214">
        <f t="shared" si="74"/>
        <v>30.75</v>
      </c>
      <c r="CD214">
        <f t="shared" si="75"/>
        <v>-5.7433764743842599E-3</v>
      </c>
      <c r="CE214" cm="1">
        <f t="array" ref="CE214">_xlfn.IFS(CD214&gt;0.9,0,CD214&lt;0.01,0)</f>
        <v>0</v>
      </c>
      <c r="CN214">
        <v>54</v>
      </c>
      <c r="CO214">
        <v>97.25</v>
      </c>
      <c r="CP214">
        <f t="shared" si="76"/>
        <v>40</v>
      </c>
      <c r="CQ214">
        <f t="shared" si="77"/>
        <v>-1.0106627765863154E-2</v>
      </c>
      <c r="CR214" cm="1">
        <f t="array" ref="CR214">_xlfn.IFS(CQ214&gt;0.9,0,CQ214&lt;0.01,0)</f>
        <v>0</v>
      </c>
      <c r="DN214">
        <v>54</v>
      </c>
      <c r="DO214">
        <v>100</v>
      </c>
      <c r="DP214">
        <f t="shared" si="78"/>
        <v>40.75</v>
      </c>
      <c r="DQ214">
        <f t="shared" si="79"/>
        <v>-2.0715196098585933E-3</v>
      </c>
      <c r="DR214" cm="1">
        <f t="array" ref="DR214">_xlfn.IFS(DQ214&gt;0.9,0,DQ214&lt;0.01,0)</f>
        <v>0</v>
      </c>
    </row>
    <row r="215" spans="14:122" x14ac:dyDescent="0.4">
      <c r="N215">
        <v>54.25</v>
      </c>
      <c r="O215">
        <v>7.25</v>
      </c>
      <c r="P215">
        <f t="shared" si="64"/>
        <v>32.25</v>
      </c>
      <c r="Q215">
        <f t="shared" si="65"/>
        <v>-1.8630217303675439E-3</v>
      </c>
      <c r="R215" cm="1">
        <f t="array" ref="R215">_xlfn.IFS(Q215&gt;0.9,0,Q215&lt;0.01,0)</f>
        <v>0</v>
      </c>
      <c r="AA215">
        <v>53.25</v>
      </c>
      <c r="AB215">
        <v>26.5</v>
      </c>
      <c r="AC215">
        <f t="shared" si="66"/>
        <v>40.25</v>
      </c>
      <c r="AD215">
        <f t="shared" si="67"/>
        <v>-2.5434457359880275E-2</v>
      </c>
      <c r="AE215" cm="1">
        <f t="array" ref="AE215">_xlfn.IFS(AD215&gt;0.9,0,AD215&lt;0.01,0)</f>
        <v>0</v>
      </c>
      <c r="AN215">
        <v>54.25</v>
      </c>
      <c r="AO215">
        <v>26.75</v>
      </c>
      <c r="AP215">
        <f t="shared" si="68"/>
        <v>44.75</v>
      </c>
      <c r="AQ215">
        <f t="shared" si="69"/>
        <v>-3.0276535993549337E-3</v>
      </c>
      <c r="AR215" cm="1">
        <f t="array" ref="AR215">_xlfn.IFS(AQ215&gt;0.9,0,AQ215&lt;0.01,0)</f>
        <v>0</v>
      </c>
      <c r="BA215">
        <v>54.25</v>
      </c>
      <c r="BB215">
        <v>7</v>
      </c>
      <c r="BC215">
        <f t="shared" si="70"/>
        <v>36.5</v>
      </c>
      <c r="BD215">
        <f t="shared" si="71"/>
        <v>7.6138797544449295E-4</v>
      </c>
      <c r="BE215" cm="1">
        <f t="array" ref="BE215">_xlfn.IFS(BD215&gt;0.9,0,BD215&lt;0.01,0)</f>
        <v>0</v>
      </c>
      <c r="BN215">
        <v>54.25</v>
      </c>
      <c r="BO215">
        <v>90.5</v>
      </c>
      <c r="BP215">
        <f t="shared" si="72"/>
        <v>39.25</v>
      </c>
      <c r="BQ215">
        <f t="shared" si="73"/>
        <v>1.4640585037126719E-3</v>
      </c>
      <c r="BR215" cm="1">
        <f t="array" ref="BR215">_xlfn.IFS(BQ215&gt;0.9,0,BQ215&lt;0.01,0)</f>
        <v>0</v>
      </c>
      <c r="CA215">
        <v>54.25</v>
      </c>
      <c r="CB215">
        <v>8</v>
      </c>
      <c r="CC215">
        <f t="shared" si="74"/>
        <v>31</v>
      </c>
      <c r="CD215">
        <f t="shared" si="75"/>
        <v>-5.7433764743842599E-3</v>
      </c>
      <c r="CE215" cm="1">
        <f t="array" ref="CE215">_xlfn.IFS(CD215&gt;0.9,0,CD215&lt;0.01,0)</f>
        <v>0</v>
      </c>
      <c r="CN215">
        <v>54.25</v>
      </c>
      <c r="CO215">
        <v>97.25</v>
      </c>
      <c r="CP215">
        <f t="shared" si="76"/>
        <v>40.25</v>
      </c>
      <c r="CQ215">
        <f t="shared" si="77"/>
        <v>-1.0106627765863154E-2</v>
      </c>
      <c r="CR215" cm="1">
        <f t="array" ref="CR215">_xlfn.IFS(CQ215&gt;0.9,0,CQ215&lt;0.01,0)</f>
        <v>0</v>
      </c>
      <c r="DN215">
        <v>54.25</v>
      </c>
      <c r="DO215">
        <v>100</v>
      </c>
      <c r="DP215">
        <f t="shared" si="78"/>
        <v>41</v>
      </c>
      <c r="DQ215">
        <f t="shared" si="79"/>
        <v>-2.0715196098585933E-3</v>
      </c>
      <c r="DR215" cm="1">
        <f t="array" ref="DR215">_xlfn.IFS(DQ215&gt;0.9,0,DQ215&lt;0.01,0)</f>
        <v>0</v>
      </c>
    </row>
    <row r="216" spans="14:122" x14ac:dyDescent="0.4">
      <c r="N216">
        <v>54.5</v>
      </c>
      <c r="O216">
        <v>7.25</v>
      </c>
      <c r="P216">
        <f t="shared" si="64"/>
        <v>32.5</v>
      </c>
      <c r="Q216">
        <f t="shared" si="65"/>
        <v>-1.8630217303675439E-3</v>
      </c>
      <c r="R216" cm="1">
        <f t="array" ref="R216">_xlfn.IFS(Q216&gt;0.9,0,Q216&lt;0.01,0)</f>
        <v>0</v>
      </c>
      <c r="AA216">
        <v>53.5</v>
      </c>
      <c r="AB216">
        <v>26.5</v>
      </c>
      <c r="AC216">
        <f t="shared" si="66"/>
        <v>40.5</v>
      </c>
      <c r="AD216">
        <f t="shared" si="67"/>
        <v>-2.5434457359880275E-2</v>
      </c>
      <c r="AE216" cm="1">
        <f t="array" ref="AE216">_xlfn.IFS(AD216&gt;0.9,0,AD216&lt;0.01,0)</f>
        <v>0</v>
      </c>
      <c r="AN216">
        <v>54.5</v>
      </c>
      <c r="AO216">
        <v>26.75</v>
      </c>
      <c r="AP216">
        <f t="shared" si="68"/>
        <v>45</v>
      </c>
      <c r="AQ216">
        <f t="shared" si="69"/>
        <v>-3.0276535993549337E-3</v>
      </c>
      <c r="AR216" cm="1">
        <f t="array" ref="AR216">_xlfn.IFS(AQ216&gt;0.9,0,AQ216&lt;0.01,0)</f>
        <v>0</v>
      </c>
      <c r="BA216">
        <v>54.5</v>
      </c>
      <c r="BB216">
        <v>7</v>
      </c>
      <c r="BC216">
        <f t="shared" si="70"/>
        <v>36.75</v>
      </c>
      <c r="BD216">
        <f t="shared" si="71"/>
        <v>7.6138797544449295E-4</v>
      </c>
      <c r="BE216" cm="1">
        <f t="array" ref="BE216">_xlfn.IFS(BD216&gt;0.9,0,BD216&lt;0.01,0)</f>
        <v>0</v>
      </c>
      <c r="BN216">
        <v>54.5</v>
      </c>
      <c r="BO216">
        <v>90.5</v>
      </c>
      <c r="BP216">
        <f t="shared" si="72"/>
        <v>39.5</v>
      </c>
      <c r="BQ216">
        <f t="shared" si="73"/>
        <v>1.4640585037126719E-3</v>
      </c>
      <c r="BR216" cm="1">
        <f t="array" ref="BR216">_xlfn.IFS(BQ216&gt;0.9,0,BQ216&lt;0.01,0)</f>
        <v>0</v>
      </c>
      <c r="CA216">
        <v>54.5</v>
      </c>
      <c r="CB216">
        <v>8</v>
      </c>
      <c r="CC216">
        <f t="shared" si="74"/>
        <v>31.25</v>
      </c>
      <c r="CD216">
        <f t="shared" si="75"/>
        <v>-5.7433764743842599E-3</v>
      </c>
      <c r="CE216" cm="1">
        <f t="array" ref="CE216">_xlfn.IFS(CD216&gt;0.9,0,CD216&lt;0.01,0)</f>
        <v>0</v>
      </c>
      <c r="CN216">
        <v>54.5</v>
      </c>
      <c r="CO216">
        <v>97</v>
      </c>
      <c r="CP216">
        <f t="shared" si="76"/>
        <v>40.5</v>
      </c>
      <c r="CQ216">
        <f t="shared" si="77"/>
        <v>-7.3241068303248891E-3</v>
      </c>
      <c r="CR216" cm="1">
        <f t="array" ref="CR216">_xlfn.IFS(CQ216&gt;0.9,0,CQ216&lt;0.01,0)</f>
        <v>0</v>
      </c>
      <c r="DN216">
        <v>54.5</v>
      </c>
      <c r="DO216">
        <v>100.25</v>
      </c>
      <c r="DP216">
        <f t="shared" si="78"/>
        <v>41.25</v>
      </c>
      <c r="DQ216">
        <f t="shared" si="79"/>
        <v>-4.7281249110512199E-3</v>
      </c>
      <c r="DR216" cm="1">
        <f t="array" ref="DR216">_xlfn.IFS(DQ216&gt;0.9,0,DQ216&lt;0.01,0)</f>
        <v>0</v>
      </c>
    </row>
    <row r="217" spans="14:122" x14ac:dyDescent="0.4">
      <c r="N217">
        <v>54.75</v>
      </c>
      <c r="O217">
        <v>7.25</v>
      </c>
      <c r="P217">
        <f t="shared" si="64"/>
        <v>32.75</v>
      </c>
      <c r="Q217">
        <f t="shared" si="65"/>
        <v>-1.8630217303675439E-3</v>
      </c>
      <c r="R217" cm="1">
        <f t="array" ref="R217">_xlfn.IFS(Q217&gt;0.9,0,Q217&lt;0.01,0)</f>
        <v>0</v>
      </c>
      <c r="AA217">
        <v>53.75</v>
      </c>
      <c r="AB217">
        <v>26.5</v>
      </c>
      <c r="AC217">
        <f t="shared" si="66"/>
        <v>40.75</v>
      </c>
      <c r="AD217">
        <f t="shared" si="67"/>
        <v>-2.5434457359880275E-2</v>
      </c>
      <c r="AE217" cm="1">
        <f t="array" ref="AE217">_xlfn.IFS(AD217&gt;0.9,0,AD217&lt;0.01,0)</f>
        <v>0</v>
      </c>
      <c r="AN217">
        <v>54.75</v>
      </c>
      <c r="AO217">
        <v>26.75</v>
      </c>
      <c r="AP217">
        <f t="shared" si="68"/>
        <v>45.25</v>
      </c>
      <c r="AQ217">
        <f t="shared" si="69"/>
        <v>-3.0276535993549337E-3</v>
      </c>
      <c r="AR217" cm="1">
        <f t="array" ref="AR217">_xlfn.IFS(AQ217&gt;0.9,0,AQ217&lt;0.01,0)</f>
        <v>0</v>
      </c>
      <c r="BA217">
        <v>54.75</v>
      </c>
      <c r="BB217">
        <v>7</v>
      </c>
      <c r="BC217">
        <f t="shared" si="70"/>
        <v>37</v>
      </c>
      <c r="BD217">
        <f t="shared" si="71"/>
        <v>7.6138797544449295E-4</v>
      </c>
      <c r="BE217" cm="1">
        <f t="array" ref="BE217">_xlfn.IFS(BD217&gt;0.9,0,BD217&lt;0.01,0)</f>
        <v>0</v>
      </c>
      <c r="BN217">
        <v>54.75</v>
      </c>
      <c r="BO217">
        <v>90.5</v>
      </c>
      <c r="BP217">
        <f t="shared" si="72"/>
        <v>39.75</v>
      </c>
      <c r="BQ217">
        <f t="shared" si="73"/>
        <v>1.4640585037126719E-3</v>
      </c>
      <c r="BR217" cm="1">
        <f t="array" ref="BR217">_xlfn.IFS(BQ217&gt;0.9,0,BQ217&lt;0.01,0)</f>
        <v>0</v>
      </c>
      <c r="CA217">
        <v>54.75</v>
      </c>
      <c r="CB217">
        <v>8</v>
      </c>
      <c r="CC217">
        <f t="shared" si="74"/>
        <v>31.5</v>
      </c>
      <c r="CD217">
        <f t="shared" si="75"/>
        <v>-5.7433764743842599E-3</v>
      </c>
      <c r="CE217" cm="1">
        <f t="array" ref="CE217">_xlfn.IFS(CD217&gt;0.9,0,CD217&lt;0.01,0)</f>
        <v>0</v>
      </c>
      <c r="CN217">
        <v>54.75</v>
      </c>
      <c r="CO217">
        <v>97.25</v>
      </c>
      <c r="CP217">
        <f t="shared" si="76"/>
        <v>40.75</v>
      </c>
      <c r="CQ217">
        <f t="shared" si="77"/>
        <v>-1.0106627765863154E-2</v>
      </c>
      <c r="CR217" cm="1">
        <f t="array" ref="CR217">_xlfn.IFS(CQ217&gt;0.9,0,CQ217&lt;0.01,0)</f>
        <v>0</v>
      </c>
      <c r="DN217">
        <v>54.75</v>
      </c>
      <c r="DO217">
        <v>100.25</v>
      </c>
      <c r="DP217">
        <f t="shared" si="78"/>
        <v>41.5</v>
      </c>
      <c r="DQ217">
        <f t="shared" si="79"/>
        <v>-4.7281249110512199E-3</v>
      </c>
      <c r="DR217" cm="1">
        <f t="array" ref="DR217">_xlfn.IFS(DQ217&gt;0.9,0,DQ217&lt;0.01,0)</f>
        <v>0</v>
      </c>
    </row>
    <row r="218" spans="14:122" x14ac:dyDescent="0.4">
      <c r="N218">
        <v>55</v>
      </c>
      <c r="O218">
        <v>7.25</v>
      </c>
      <c r="P218">
        <f t="shared" si="64"/>
        <v>33</v>
      </c>
      <c r="Q218">
        <f t="shared" si="65"/>
        <v>-1.8630217303675439E-3</v>
      </c>
      <c r="R218" cm="1">
        <f t="array" ref="R218">_xlfn.IFS(Q218&gt;0.9,0,Q218&lt;0.01,0)</f>
        <v>0</v>
      </c>
      <c r="AA218">
        <v>54</v>
      </c>
      <c r="AB218">
        <v>26.5</v>
      </c>
      <c r="AC218">
        <f t="shared" si="66"/>
        <v>41</v>
      </c>
      <c r="AD218">
        <f t="shared" si="67"/>
        <v>-2.5434457359880275E-2</v>
      </c>
      <c r="AE218" cm="1">
        <f t="array" ref="AE218">_xlfn.IFS(AD218&gt;0.9,0,AD218&lt;0.01,0)</f>
        <v>0</v>
      </c>
      <c r="AN218">
        <v>55</v>
      </c>
      <c r="AO218">
        <v>26.75</v>
      </c>
      <c r="AP218">
        <f t="shared" si="68"/>
        <v>45.5</v>
      </c>
      <c r="AQ218">
        <f t="shared" si="69"/>
        <v>-3.0276535993549337E-3</v>
      </c>
      <c r="AR218" cm="1">
        <f t="array" ref="AR218">_xlfn.IFS(AQ218&gt;0.9,0,AQ218&lt;0.01,0)</f>
        <v>0</v>
      </c>
      <c r="BA218">
        <v>55</v>
      </c>
      <c r="BB218">
        <v>7</v>
      </c>
      <c r="BC218">
        <f t="shared" si="70"/>
        <v>37.25</v>
      </c>
      <c r="BD218">
        <f t="shared" si="71"/>
        <v>7.6138797544449295E-4</v>
      </c>
      <c r="BE218" cm="1">
        <f t="array" ref="BE218">_xlfn.IFS(BD218&gt;0.9,0,BD218&lt;0.01,0)</f>
        <v>0</v>
      </c>
      <c r="BN218">
        <v>55</v>
      </c>
      <c r="BO218">
        <v>90.5</v>
      </c>
      <c r="BP218">
        <f t="shared" si="72"/>
        <v>40</v>
      </c>
      <c r="BQ218">
        <f t="shared" si="73"/>
        <v>1.4640585037126719E-3</v>
      </c>
      <c r="BR218" cm="1">
        <f t="array" ref="BR218">_xlfn.IFS(BQ218&gt;0.9,0,BQ218&lt;0.01,0)</f>
        <v>0</v>
      </c>
      <c r="CA218">
        <v>55</v>
      </c>
      <c r="CB218">
        <v>8</v>
      </c>
      <c r="CC218">
        <f t="shared" si="74"/>
        <v>31.75</v>
      </c>
      <c r="CD218">
        <f t="shared" si="75"/>
        <v>-5.7433764743842599E-3</v>
      </c>
      <c r="CE218" cm="1">
        <f t="array" ref="CE218">_xlfn.IFS(CD218&gt;0.9,0,CD218&lt;0.01,0)</f>
        <v>0</v>
      </c>
      <c r="CN218">
        <v>55</v>
      </c>
      <c r="CO218">
        <v>97</v>
      </c>
      <c r="CP218">
        <f t="shared" si="76"/>
        <v>41</v>
      </c>
      <c r="CQ218">
        <f t="shared" si="77"/>
        <v>-7.3241068303248891E-3</v>
      </c>
      <c r="CR218" cm="1">
        <f t="array" ref="CR218">_xlfn.IFS(CQ218&gt;0.9,0,CQ218&lt;0.01,0)</f>
        <v>0</v>
      </c>
      <c r="DN218">
        <v>55</v>
      </c>
      <c r="DO218">
        <v>100</v>
      </c>
      <c r="DP218">
        <f t="shared" si="78"/>
        <v>41.75</v>
      </c>
      <c r="DQ218">
        <f t="shared" si="79"/>
        <v>-2.0715196098585933E-3</v>
      </c>
      <c r="DR218" cm="1">
        <f t="array" ref="DR218">_xlfn.IFS(DQ218&gt;0.9,0,DQ218&lt;0.01,0)</f>
        <v>0</v>
      </c>
    </row>
    <row r="219" spans="14:122" x14ac:dyDescent="0.4">
      <c r="N219">
        <v>55.25</v>
      </c>
      <c r="O219">
        <v>7.25</v>
      </c>
      <c r="P219">
        <f t="shared" si="64"/>
        <v>33.25</v>
      </c>
      <c r="Q219">
        <f t="shared" si="65"/>
        <v>-1.8630217303675439E-3</v>
      </c>
      <c r="R219" cm="1">
        <f t="array" ref="R219">_xlfn.IFS(Q219&gt;0.9,0,Q219&lt;0.01,0)</f>
        <v>0</v>
      </c>
      <c r="AA219">
        <v>54.25</v>
      </c>
      <c r="AB219">
        <v>26.5</v>
      </c>
      <c r="AC219">
        <f t="shared" si="66"/>
        <v>41.25</v>
      </c>
      <c r="AD219">
        <f t="shared" si="67"/>
        <v>-2.5434457359880275E-2</v>
      </c>
      <c r="AE219" cm="1">
        <f t="array" ref="AE219">_xlfn.IFS(AD219&gt;0.9,0,AD219&lt;0.01,0)</f>
        <v>0</v>
      </c>
      <c r="AN219">
        <v>55.25</v>
      </c>
      <c r="AO219">
        <v>26.75</v>
      </c>
      <c r="AP219">
        <f t="shared" si="68"/>
        <v>45.75</v>
      </c>
      <c r="AQ219">
        <f t="shared" si="69"/>
        <v>-3.0276535993549337E-3</v>
      </c>
      <c r="AR219" cm="1">
        <f t="array" ref="AR219">_xlfn.IFS(AQ219&gt;0.9,0,AQ219&lt;0.01,0)</f>
        <v>0</v>
      </c>
      <c r="BA219">
        <v>55.25</v>
      </c>
      <c r="BB219">
        <v>7</v>
      </c>
      <c r="BC219">
        <f t="shared" si="70"/>
        <v>37.5</v>
      </c>
      <c r="BD219">
        <f t="shared" si="71"/>
        <v>7.6138797544449295E-4</v>
      </c>
      <c r="BE219" cm="1">
        <f t="array" ref="BE219">_xlfn.IFS(BD219&gt;0.9,0,BD219&lt;0.01,0)</f>
        <v>0</v>
      </c>
      <c r="BN219">
        <v>55.25</v>
      </c>
      <c r="BO219">
        <v>90.5</v>
      </c>
      <c r="BP219">
        <f t="shared" si="72"/>
        <v>40.25</v>
      </c>
      <c r="BQ219">
        <f t="shared" si="73"/>
        <v>1.4640585037126719E-3</v>
      </c>
      <c r="BR219" cm="1">
        <f t="array" ref="BR219">_xlfn.IFS(BQ219&gt;0.9,0,BQ219&lt;0.01,0)</f>
        <v>0</v>
      </c>
      <c r="CA219">
        <v>55.25</v>
      </c>
      <c r="CB219">
        <v>8</v>
      </c>
      <c r="CC219">
        <f t="shared" si="74"/>
        <v>32</v>
      </c>
      <c r="CD219">
        <f t="shared" si="75"/>
        <v>-5.7433764743842599E-3</v>
      </c>
      <c r="CE219" cm="1">
        <f t="array" ref="CE219">_xlfn.IFS(CD219&gt;0.9,0,CD219&lt;0.01,0)</f>
        <v>0</v>
      </c>
      <c r="CN219">
        <v>55.25</v>
      </c>
      <c r="CO219">
        <v>97</v>
      </c>
      <c r="CP219">
        <f t="shared" si="76"/>
        <v>41.25</v>
      </c>
      <c r="CQ219">
        <f t="shared" si="77"/>
        <v>-7.3241068303248891E-3</v>
      </c>
      <c r="CR219" cm="1">
        <f t="array" ref="CR219">_xlfn.IFS(CQ219&gt;0.9,0,CQ219&lt;0.01,0)</f>
        <v>0</v>
      </c>
      <c r="DN219">
        <v>55.25</v>
      </c>
      <c r="DO219">
        <v>100</v>
      </c>
      <c r="DP219">
        <f t="shared" si="78"/>
        <v>42</v>
      </c>
      <c r="DQ219">
        <f t="shared" si="79"/>
        <v>-2.0715196098585933E-3</v>
      </c>
      <c r="DR219" cm="1">
        <f t="array" ref="DR219">_xlfn.IFS(DQ219&gt;0.9,0,DQ219&lt;0.01,0)</f>
        <v>0</v>
      </c>
    </row>
    <row r="220" spans="14:122" x14ac:dyDescent="0.4">
      <c r="N220">
        <v>55.5</v>
      </c>
      <c r="O220">
        <v>7.25</v>
      </c>
      <c r="P220">
        <f t="shared" si="64"/>
        <v>33.5</v>
      </c>
      <c r="Q220">
        <f t="shared" si="65"/>
        <v>-1.8630217303675439E-3</v>
      </c>
      <c r="R220" cm="1">
        <f t="array" ref="R220">_xlfn.IFS(Q220&gt;0.9,0,Q220&lt;0.01,0)</f>
        <v>0</v>
      </c>
      <c r="AA220">
        <v>54.5</v>
      </c>
      <c r="AB220">
        <v>26.5</v>
      </c>
      <c r="AC220">
        <f t="shared" si="66"/>
        <v>41.5</v>
      </c>
      <c r="AD220">
        <f t="shared" si="67"/>
        <v>-2.5434457359880275E-2</v>
      </c>
      <c r="AE220" cm="1">
        <f t="array" ref="AE220">_xlfn.IFS(AD220&gt;0.9,0,AD220&lt;0.01,0)</f>
        <v>0</v>
      </c>
      <c r="AN220">
        <v>55.5</v>
      </c>
      <c r="AO220">
        <v>26.75</v>
      </c>
      <c r="AP220">
        <f t="shared" si="68"/>
        <v>46</v>
      </c>
      <c r="AQ220">
        <f t="shared" si="69"/>
        <v>-3.0276535993549337E-3</v>
      </c>
      <c r="AR220" cm="1">
        <f t="array" ref="AR220">_xlfn.IFS(AQ220&gt;0.9,0,AQ220&lt;0.01,0)</f>
        <v>0</v>
      </c>
      <c r="BA220">
        <v>55.5</v>
      </c>
      <c r="BB220">
        <v>6.75</v>
      </c>
      <c r="BC220">
        <f t="shared" si="70"/>
        <v>37.75</v>
      </c>
      <c r="BD220">
        <f t="shared" si="71"/>
        <v>-1.9288495377927097E-3</v>
      </c>
      <c r="BE220" cm="1">
        <f t="array" ref="BE220">_xlfn.IFS(BD220&gt;0.9,0,BD220&lt;0.01,0)</f>
        <v>0</v>
      </c>
      <c r="BN220">
        <v>55.5</v>
      </c>
      <c r="BO220">
        <v>90.5</v>
      </c>
      <c r="BP220">
        <f t="shared" si="72"/>
        <v>40.5</v>
      </c>
      <c r="BQ220">
        <f t="shared" si="73"/>
        <v>1.4640585037126719E-3</v>
      </c>
      <c r="BR220" cm="1">
        <f t="array" ref="BR220">_xlfn.IFS(BQ220&gt;0.9,0,BQ220&lt;0.01,0)</f>
        <v>0</v>
      </c>
      <c r="CA220">
        <v>55.5</v>
      </c>
      <c r="CB220">
        <v>8</v>
      </c>
      <c r="CC220">
        <f t="shared" si="74"/>
        <v>32.25</v>
      </c>
      <c r="CD220">
        <f t="shared" si="75"/>
        <v>-5.7433764743842599E-3</v>
      </c>
      <c r="CE220" cm="1">
        <f t="array" ref="CE220">_xlfn.IFS(CD220&gt;0.9,0,CD220&lt;0.01,0)</f>
        <v>0</v>
      </c>
      <c r="CN220">
        <v>55.5</v>
      </c>
      <c r="CO220">
        <v>97.25</v>
      </c>
      <c r="CP220">
        <f t="shared" si="76"/>
        <v>41.5</v>
      </c>
      <c r="CQ220">
        <f t="shared" si="77"/>
        <v>-1.0106627765863154E-2</v>
      </c>
      <c r="CR220" cm="1">
        <f t="array" ref="CR220">_xlfn.IFS(CQ220&gt;0.9,0,CQ220&lt;0.01,0)</f>
        <v>0</v>
      </c>
      <c r="DN220">
        <v>55.5</v>
      </c>
      <c r="DO220">
        <v>100</v>
      </c>
      <c r="DP220">
        <f t="shared" si="78"/>
        <v>42.25</v>
      </c>
      <c r="DQ220">
        <f t="shared" si="79"/>
        <v>-2.0715196098585933E-3</v>
      </c>
      <c r="DR220" cm="1">
        <f t="array" ref="DR220">_xlfn.IFS(DQ220&gt;0.9,0,DQ220&lt;0.01,0)</f>
        <v>0</v>
      </c>
    </row>
    <row r="221" spans="14:122" x14ac:dyDescent="0.4">
      <c r="N221">
        <v>55.75</v>
      </c>
      <c r="O221">
        <v>7.25</v>
      </c>
      <c r="P221">
        <f t="shared" si="64"/>
        <v>33.75</v>
      </c>
      <c r="Q221">
        <f t="shared" si="65"/>
        <v>-1.8630217303675439E-3</v>
      </c>
      <c r="R221" cm="1">
        <f t="array" ref="R221">_xlfn.IFS(Q221&gt;0.9,0,Q221&lt;0.01,0)</f>
        <v>0</v>
      </c>
      <c r="AA221">
        <v>54.75</v>
      </c>
      <c r="AB221">
        <v>26.5</v>
      </c>
      <c r="AC221">
        <f t="shared" si="66"/>
        <v>41.75</v>
      </c>
      <c r="AD221">
        <f t="shared" si="67"/>
        <v>-2.5434457359880275E-2</v>
      </c>
      <c r="AE221" cm="1">
        <f t="array" ref="AE221">_xlfn.IFS(AD221&gt;0.9,0,AD221&lt;0.01,0)</f>
        <v>0</v>
      </c>
      <c r="AN221">
        <v>55.75</v>
      </c>
      <c r="AO221">
        <v>26.75</v>
      </c>
      <c r="AP221">
        <f t="shared" si="68"/>
        <v>46.25</v>
      </c>
      <c r="AQ221">
        <f t="shared" si="69"/>
        <v>-3.0276535993549337E-3</v>
      </c>
      <c r="AR221" cm="1">
        <f t="array" ref="AR221">_xlfn.IFS(AQ221&gt;0.9,0,AQ221&lt;0.01,0)</f>
        <v>0</v>
      </c>
      <c r="BA221">
        <v>55.75</v>
      </c>
      <c r="BB221">
        <v>7</v>
      </c>
      <c r="BC221">
        <f t="shared" si="70"/>
        <v>38</v>
      </c>
      <c r="BD221">
        <f t="shared" si="71"/>
        <v>7.6138797544449295E-4</v>
      </c>
      <c r="BE221" cm="1">
        <f t="array" ref="BE221">_xlfn.IFS(BD221&gt;0.9,0,BD221&lt;0.01,0)</f>
        <v>0</v>
      </c>
      <c r="BN221">
        <v>55.75</v>
      </c>
      <c r="BO221">
        <v>90.5</v>
      </c>
      <c r="BP221">
        <f t="shared" si="72"/>
        <v>40.75</v>
      </c>
      <c r="BQ221">
        <f t="shared" si="73"/>
        <v>1.4640585037126719E-3</v>
      </c>
      <c r="BR221" cm="1">
        <f t="array" ref="BR221">_xlfn.IFS(BQ221&gt;0.9,0,BQ221&lt;0.01,0)</f>
        <v>0</v>
      </c>
      <c r="CA221">
        <v>55.75</v>
      </c>
      <c r="CB221">
        <v>7.75</v>
      </c>
      <c r="CC221">
        <f t="shared" si="74"/>
        <v>32.5</v>
      </c>
      <c r="CD221">
        <f t="shared" si="75"/>
        <v>-8.7214235351760951E-3</v>
      </c>
      <c r="CE221" cm="1">
        <f t="array" ref="CE221">_xlfn.IFS(CD221&gt;0.9,0,CD221&lt;0.01,0)</f>
        <v>0</v>
      </c>
      <c r="CN221">
        <v>55.75</v>
      </c>
      <c r="CO221">
        <v>97</v>
      </c>
      <c r="CP221">
        <f t="shared" si="76"/>
        <v>41.75</v>
      </c>
      <c r="CQ221">
        <f t="shared" si="77"/>
        <v>-7.3241068303248891E-3</v>
      </c>
      <c r="CR221" cm="1">
        <f t="array" ref="CR221">_xlfn.IFS(CQ221&gt;0.9,0,CQ221&lt;0.01,0)</f>
        <v>0</v>
      </c>
      <c r="DN221">
        <v>55.75</v>
      </c>
      <c r="DO221">
        <v>100</v>
      </c>
      <c r="DP221">
        <f t="shared" si="78"/>
        <v>42.5</v>
      </c>
      <c r="DQ221">
        <f t="shared" si="79"/>
        <v>-2.0715196098585933E-3</v>
      </c>
      <c r="DR221" cm="1">
        <f t="array" ref="DR221">_xlfn.IFS(DQ221&gt;0.9,0,DQ221&lt;0.01,0)</f>
        <v>0</v>
      </c>
    </row>
    <row r="222" spans="14:122" x14ac:dyDescent="0.4">
      <c r="N222">
        <v>56</v>
      </c>
      <c r="O222">
        <v>7.25</v>
      </c>
      <c r="P222">
        <f t="shared" si="64"/>
        <v>34</v>
      </c>
      <c r="Q222">
        <f t="shared" si="65"/>
        <v>-1.8630217303675439E-3</v>
      </c>
      <c r="R222" cm="1">
        <f t="array" ref="R222">_xlfn.IFS(Q222&gt;0.9,0,Q222&lt;0.01,0)</f>
        <v>0</v>
      </c>
      <c r="AA222">
        <v>55</v>
      </c>
      <c r="AB222">
        <v>26.5</v>
      </c>
      <c r="AC222">
        <f t="shared" si="66"/>
        <v>42</v>
      </c>
      <c r="AD222">
        <f t="shared" si="67"/>
        <v>-2.5434457359880275E-2</v>
      </c>
      <c r="AE222" cm="1">
        <f t="array" ref="AE222">_xlfn.IFS(AD222&gt;0.9,0,AD222&lt;0.01,0)</f>
        <v>0</v>
      </c>
      <c r="AN222">
        <v>56</v>
      </c>
      <c r="AO222">
        <v>26.75</v>
      </c>
      <c r="AP222">
        <f t="shared" si="68"/>
        <v>46.5</v>
      </c>
      <c r="AQ222">
        <f t="shared" si="69"/>
        <v>-3.0276535993549337E-3</v>
      </c>
      <c r="AR222" cm="1">
        <f t="array" ref="AR222">_xlfn.IFS(AQ222&gt;0.9,0,AQ222&lt;0.01,0)</f>
        <v>0</v>
      </c>
      <c r="BA222">
        <v>56</v>
      </c>
      <c r="BB222">
        <v>6.75</v>
      </c>
      <c r="BC222">
        <f t="shared" si="70"/>
        <v>38.25</v>
      </c>
      <c r="BD222">
        <f t="shared" si="71"/>
        <v>-1.9288495377927097E-3</v>
      </c>
      <c r="BE222" cm="1">
        <f t="array" ref="BE222">_xlfn.IFS(BD222&gt;0.9,0,BD222&lt;0.01,0)</f>
        <v>0</v>
      </c>
      <c r="BN222">
        <v>56</v>
      </c>
      <c r="BO222">
        <v>90.5</v>
      </c>
      <c r="BP222">
        <f t="shared" si="72"/>
        <v>41</v>
      </c>
      <c r="BQ222">
        <f t="shared" si="73"/>
        <v>1.4640585037126719E-3</v>
      </c>
      <c r="BR222" cm="1">
        <f t="array" ref="BR222">_xlfn.IFS(BQ222&gt;0.9,0,BQ222&lt;0.01,0)</f>
        <v>0</v>
      </c>
      <c r="CA222">
        <v>56</v>
      </c>
      <c r="CB222">
        <v>7.75</v>
      </c>
      <c r="CC222">
        <f t="shared" si="74"/>
        <v>32.75</v>
      </c>
      <c r="CD222">
        <f t="shared" si="75"/>
        <v>-8.7214235351760951E-3</v>
      </c>
      <c r="CE222" cm="1">
        <f t="array" ref="CE222">_xlfn.IFS(CD222&gt;0.9,0,CD222&lt;0.01,0)</f>
        <v>0</v>
      </c>
      <c r="CN222">
        <v>56</v>
      </c>
      <c r="CO222">
        <v>97</v>
      </c>
      <c r="CP222">
        <f t="shared" si="76"/>
        <v>42</v>
      </c>
      <c r="CQ222">
        <f t="shared" si="77"/>
        <v>-7.3241068303248891E-3</v>
      </c>
      <c r="CR222" cm="1">
        <f t="array" ref="CR222">_xlfn.IFS(CQ222&gt;0.9,0,CQ222&lt;0.01,0)</f>
        <v>0</v>
      </c>
      <c r="DN222">
        <v>56</v>
      </c>
      <c r="DO222">
        <v>100</v>
      </c>
      <c r="DP222">
        <f t="shared" si="78"/>
        <v>42.75</v>
      </c>
      <c r="DQ222">
        <f t="shared" si="79"/>
        <v>-2.0715196098585933E-3</v>
      </c>
      <c r="DR222" cm="1">
        <f t="array" ref="DR222">_xlfn.IFS(DQ222&gt;0.9,0,DQ222&lt;0.01,0)</f>
        <v>0</v>
      </c>
    </row>
    <row r="223" spans="14:122" x14ac:dyDescent="0.4">
      <c r="N223">
        <v>56.25</v>
      </c>
      <c r="O223">
        <v>7.25</v>
      </c>
      <c r="P223">
        <f t="shared" si="64"/>
        <v>34.25</v>
      </c>
      <c r="Q223">
        <f t="shared" si="65"/>
        <v>-1.8630217303675439E-3</v>
      </c>
      <c r="R223" cm="1">
        <f t="array" ref="R223">_xlfn.IFS(Q223&gt;0.9,0,Q223&lt;0.01,0)</f>
        <v>0</v>
      </c>
      <c r="AA223">
        <v>55.25</v>
      </c>
      <c r="AB223">
        <v>26.5</v>
      </c>
      <c r="AC223">
        <f t="shared" si="66"/>
        <v>42.25</v>
      </c>
      <c r="AD223">
        <f t="shared" si="67"/>
        <v>-2.5434457359880275E-2</v>
      </c>
      <c r="AE223" cm="1">
        <f t="array" ref="AE223">_xlfn.IFS(AD223&gt;0.9,0,AD223&lt;0.01,0)</f>
        <v>0</v>
      </c>
      <c r="AN223">
        <v>56.25</v>
      </c>
      <c r="AO223">
        <v>26.75</v>
      </c>
      <c r="AP223">
        <f t="shared" si="68"/>
        <v>46.75</v>
      </c>
      <c r="AQ223">
        <f t="shared" si="69"/>
        <v>-3.0276535993549337E-3</v>
      </c>
      <c r="AR223" cm="1">
        <f t="array" ref="AR223">_xlfn.IFS(AQ223&gt;0.9,0,AQ223&lt;0.01,0)</f>
        <v>0</v>
      </c>
      <c r="BA223">
        <v>56.25</v>
      </c>
      <c r="BB223">
        <v>6.75</v>
      </c>
      <c r="BC223">
        <f t="shared" si="70"/>
        <v>38.5</v>
      </c>
      <c r="BD223">
        <f t="shared" si="71"/>
        <v>-1.9288495377927097E-3</v>
      </c>
      <c r="BE223" cm="1">
        <f t="array" ref="BE223">_xlfn.IFS(BD223&gt;0.9,0,BD223&lt;0.01,0)</f>
        <v>0</v>
      </c>
      <c r="BN223">
        <v>56.25</v>
      </c>
      <c r="BO223">
        <v>90.5</v>
      </c>
      <c r="BP223">
        <f t="shared" si="72"/>
        <v>41.25</v>
      </c>
      <c r="BQ223">
        <f t="shared" si="73"/>
        <v>1.4640585037126719E-3</v>
      </c>
      <c r="BR223" cm="1">
        <f t="array" ref="BR223">_xlfn.IFS(BQ223&gt;0.9,0,BQ223&lt;0.01,0)</f>
        <v>0</v>
      </c>
      <c r="CA223">
        <v>56.25</v>
      </c>
      <c r="CB223">
        <v>7.75</v>
      </c>
      <c r="CC223">
        <f t="shared" si="74"/>
        <v>33</v>
      </c>
      <c r="CD223">
        <f t="shared" si="75"/>
        <v>-8.7214235351760951E-3</v>
      </c>
      <c r="CE223" cm="1">
        <f t="array" ref="CE223">_xlfn.IFS(CD223&gt;0.9,0,CD223&lt;0.01,0)</f>
        <v>0</v>
      </c>
      <c r="CN223">
        <v>56.25</v>
      </c>
      <c r="CO223">
        <v>97</v>
      </c>
      <c r="CP223">
        <f t="shared" si="76"/>
        <v>42.25</v>
      </c>
      <c r="CQ223">
        <f t="shared" si="77"/>
        <v>-7.3241068303248891E-3</v>
      </c>
      <c r="CR223" cm="1">
        <f t="array" ref="CR223">_xlfn.IFS(CQ223&gt;0.9,0,CQ223&lt;0.01,0)</f>
        <v>0</v>
      </c>
      <c r="DN223">
        <v>56.25</v>
      </c>
      <c r="DO223">
        <v>100</v>
      </c>
      <c r="DP223">
        <f t="shared" si="78"/>
        <v>43</v>
      </c>
      <c r="DQ223">
        <f t="shared" si="79"/>
        <v>-2.0715196098585933E-3</v>
      </c>
      <c r="DR223" cm="1">
        <f t="array" ref="DR223">_xlfn.IFS(DQ223&gt;0.9,0,DQ223&lt;0.01,0)</f>
        <v>0</v>
      </c>
    </row>
    <row r="224" spans="14:122" x14ac:dyDescent="0.4">
      <c r="N224">
        <v>56.5</v>
      </c>
      <c r="O224">
        <v>7.25</v>
      </c>
      <c r="P224">
        <f t="shared" si="64"/>
        <v>34.5</v>
      </c>
      <c r="Q224">
        <f t="shared" si="65"/>
        <v>-1.8630217303675439E-3</v>
      </c>
      <c r="R224" cm="1">
        <f t="array" ref="R224">_xlfn.IFS(Q224&gt;0.9,0,Q224&lt;0.01,0)</f>
        <v>0</v>
      </c>
      <c r="AA224">
        <v>55.5</v>
      </c>
      <c r="AB224">
        <v>26.5</v>
      </c>
      <c r="AC224">
        <f t="shared" si="66"/>
        <v>42.5</v>
      </c>
      <c r="AD224">
        <f t="shared" si="67"/>
        <v>-2.5434457359880275E-2</v>
      </c>
      <c r="AE224" cm="1">
        <f t="array" ref="AE224">_xlfn.IFS(AD224&gt;0.9,0,AD224&lt;0.01,0)</f>
        <v>0</v>
      </c>
      <c r="AN224">
        <v>56.5</v>
      </c>
      <c r="AO224">
        <v>26.75</v>
      </c>
      <c r="AP224">
        <f t="shared" si="68"/>
        <v>47</v>
      </c>
      <c r="AQ224">
        <f t="shared" si="69"/>
        <v>-3.0276535993549337E-3</v>
      </c>
      <c r="AR224" cm="1">
        <f t="array" ref="AR224">_xlfn.IFS(AQ224&gt;0.9,0,AQ224&lt;0.01,0)</f>
        <v>0</v>
      </c>
      <c r="BA224">
        <v>56.5</v>
      </c>
      <c r="BB224">
        <v>6.75</v>
      </c>
      <c r="BC224">
        <f t="shared" si="70"/>
        <v>38.75</v>
      </c>
      <c r="BD224">
        <f t="shared" si="71"/>
        <v>-1.9288495377927097E-3</v>
      </c>
      <c r="BE224" cm="1">
        <f t="array" ref="BE224">_xlfn.IFS(BD224&gt;0.9,0,BD224&lt;0.01,0)</f>
        <v>0</v>
      </c>
      <c r="BN224">
        <v>56.5</v>
      </c>
      <c r="BO224">
        <v>90.5</v>
      </c>
      <c r="BP224">
        <f t="shared" si="72"/>
        <v>41.5</v>
      </c>
      <c r="BQ224">
        <f t="shared" si="73"/>
        <v>1.4640585037126719E-3</v>
      </c>
      <c r="BR224" cm="1">
        <f t="array" ref="BR224">_xlfn.IFS(BQ224&gt;0.9,0,BQ224&lt;0.01,0)</f>
        <v>0</v>
      </c>
      <c r="CA224">
        <v>56.5</v>
      </c>
      <c r="CB224">
        <v>7.75</v>
      </c>
      <c r="CC224">
        <f t="shared" si="74"/>
        <v>33.25</v>
      </c>
      <c r="CD224">
        <f t="shared" si="75"/>
        <v>-8.7214235351760951E-3</v>
      </c>
      <c r="CE224" cm="1">
        <f t="array" ref="CE224">_xlfn.IFS(CD224&gt;0.9,0,CD224&lt;0.01,0)</f>
        <v>0</v>
      </c>
      <c r="CN224">
        <v>56.5</v>
      </c>
      <c r="CO224">
        <v>97</v>
      </c>
      <c r="CP224">
        <f t="shared" si="76"/>
        <v>42.5</v>
      </c>
      <c r="CQ224">
        <f t="shared" si="77"/>
        <v>-7.3241068303248891E-3</v>
      </c>
      <c r="CR224" cm="1">
        <f t="array" ref="CR224">_xlfn.IFS(CQ224&gt;0.9,0,CQ224&lt;0.01,0)</f>
        <v>0</v>
      </c>
      <c r="DN224">
        <v>56.5</v>
      </c>
      <c r="DO224">
        <v>100</v>
      </c>
      <c r="DP224">
        <f t="shared" si="78"/>
        <v>43.25</v>
      </c>
      <c r="DQ224">
        <f t="shared" si="79"/>
        <v>-2.0715196098585933E-3</v>
      </c>
      <c r="DR224" cm="1">
        <f t="array" ref="DR224">_xlfn.IFS(DQ224&gt;0.9,0,DQ224&lt;0.01,0)</f>
        <v>0</v>
      </c>
    </row>
    <row r="225" spans="14:122" x14ac:dyDescent="0.4">
      <c r="N225">
        <v>56.75</v>
      </c>
      <c r="O225">
        <v>7.25</v>
      </c>
      <c r="P225">
        <f t="shared" si="64"/>
        <v>34.75</v>
      </c>
      <c r="Q225">
        <f t="shared" si="65"/>
        <v>-1.8630217303675439E-3</v>
      </c>
      <c r="R225" cm="1">
        <f t="array" ref="R225">_xlfn.IFS(Q225&gt;0.9,0,Q225&lt;0.01,0)</f>
        <v>0</v>
      </c>
      <c r="AA225">
        <v>55.75</v>
      </c>
      <c r="AB225">
        <v>26.5</v>
      </c>
      <c r="AC225">
        <f t="shared" si="66"/>
        <v>42.75</v>
      </c>
      <c r="AD225">
        <f t="shared" si="67"/>
        <v>-2.5434457359880275E-2</v>
      </c>
      <c r="AE225" cm="1">
        <f t="array" ref="AE225">_xlfn.IFS(AD225&gt;0.9,0,AD225&lt;0.01,0)</f>
        <v>0</v>
      </c>
      <c r="AN225">
        <v>56.75</v>
      </c>
      <c r="AO225">
        <v>26.75</v>
      </c>
      <c r="AP225">
        <f t="shared" si="68"/>
        <v>47.25</v>
      </c>
      <c r="AQ225">
        <f t="shared" si="69"/>
        <v>-3.0276535993549337E-3</v>
      </c>
      <c r="AR225" cm="1">
        <f t="array" ref="AR225">_xlfn.IFS(AQ225&gt;0.9,0,AQ225&lt;0.01,0)</f>
        <v>0</v>
      </c>
      <c r="BA225">
        <v>56.75</v>
      </c>
      <c r="BB225">
        <v>6.75</v>
      </c>
      <c r="BC225">
        <f t="shared" si="70"/>
        <v>39</v>
      </c>
      <c r="BD225">
        <f t="shared" si="71"/>
        <v>-1.9288495377927097E-3</v>
      </c>
      <c r="BE225" cm="1">
        <f t="array" ref="BE225">_xlfn.IFS(BD225&gt;0.9,0,BD225&lt;0.01,0)</f>
        <v>0</v>
      </c>
      <c r="BN225">
        <v>56.75</v>
      </c>
      <c r="BO225">
        <v>90.5</v>
      </c>
      <c r="BP225">
        <f t="shared" si="72"/>
        <v>41.75</v>
      </c>
      <c r="BQ225">
        <f t="shared" si="73"/>
        <v>1.4640585037126719E-3</v>
      </c>
      <c r="BR225" cm="1">
        <f t="array" ref="BR225">_xlfn.IFS(BQ225&gt;0.9,0,BQ225&lt;0.01,0)</f>
        <v>0</v>
      </c>
      <c r="CA225">
        <v>56.75</v>
      </c>
      <c r="CB225">
        <v>7.75</v>
      </c>
      <c r="CC225">
        <f t="shared" si="74"/>
        <v>33.5</v>
      </c>
      <c r="CD225">
        <f t="shared" si="75"/>
        <v>-8.7214235351760951E-3</v>
      </c>
      <c r="CE225" cm="1">
        <f t="array" ref="CE225">_xlfn.IFS(CD225&gt;0.9,0,CD225&lt;0.01,0)</f>
        <v>0</v>
      </c>
      <c r="CN225">
        <v>56.75</v>
      </c>
      <c r="CO225">
        <v>97</v>
      </c>
      <c r="CP225">
        <f t="shared" si="76"/>
        <v>42.75</v>
      </c>
      <c r="CQ225">
        <f t="shared" si="77"/>
        <v>-7.3241068303248891E-3</v>
      </c>
      <c r="CR225" cm="1">
        <f t="array" ref="CR225">_xlfn.IFS(CQ225&gt;0.9,0,CQ225&lt;0.01,0)</f>
        <v>0</v>
      </c>
      <c r="DN225">
        <v>56.75</v>
      </c>
      <c r="DO225">
        <v>100</v>
      </c>
      <c r="DP225">
        <f t="shared" si="78"/>
        <v>43.5</v>
      </c>
      <c r="DQ225">
        <f t="shared" si="79"/>
        <v>-2.0715196098585933E-3</v>
      </c>
      <c r="DR225" cm="1">
        <f t="array" ref="DR225">_xlfn.IFS(DQ225&gt;0.9,0,DQ225&lt;0.01,0)</f>
        <v>0</v>
      </c>
    </row>
    <row r="226" spans="14:122" x14ac:dyDescent="0.4">
      <c r="N226">
        <v>57</v>
      </c>
      <c r="O226">
        <v>7.25</v>
      </c>
      <c r="P226">
        <f t="shared" si="64"/>
        <v>35</v>
      </c>
      <c r="Q226">
        <f t="shared" si="65"/>
        <v>-1.8630217303675439E-3</v>
      </c>
      <c r="R226" cm="1">
        <f t="array" ref="R226">_xlfn.IFS(Q226&gt;0.9,0,Q226&lt;0.01,0)</f>
        <v>0</v>
      </c>
      <c r="AA226">
        <v>56</v>
      </c>
      <c r="AB226">
        <v>26.5</v>
      </c>
      <c r="AC226">
        <f t="shared" si="66"/>
        <v>43</v>
      </c>
      <c r="AD226">
        <f t="shared" si="67"/>
        <v>-2.5434457359880275E-2</v>
      </c>
      <c r="AE226" cm="1">
        <f t="array" ref="AE226">_xlfn.IFS(AD226&gt;0.9,0,AD226&lt;0.01,0)</f>
        <v>0</v>
      </c>
      <c r="AN226">
        <v>57</v>
      </c>
      <c r="AO226">
        <v>26.75</v>
      </c>
      <c r="AP226">
        <f t="shared" si="68"/>
        <v>47.5</v>
      </c>
      <c r="AQ226">
        <f t="shared" si="69"/>
        <v>-3.0276535993549337E-3</v>
      </c>
      <c r="AR226" cm="1">
        <f t="array" ref="AR226">_xlfn.IFS(AQ226&gt;0.9,0,AQ226&lt;0.01,0)</f>
        <v>0</v>
      </c>
      <c r="BA226">
        <v>57</v>
      </c>
      <c r="BB226">
        <v>6.75</v>
      </c>
      <c r="BC226">
        <f t="shared" si="70"/>
        <v>39.25</v>
      </c>
      <c r="BD226">
        <f t="shared" si="71"/>
        <v>-1.9288495377927097E-3</v>
      </c>
      <c r="BE226" cm="1">
        <f t="array" ref="BE226">_xlfn.IFS(BD226&gt;0.9,0,BD226&lt;0.01,0)</f>
        <v>0</v>
      </c>
      <c r="BN226">
        <v>57</v>
      </c>
      <c r="BO226">
        <v>90.5</v>
      </c>
      <c r="BP226">
        <f t="shared" si="72"/>
        <v>42</v>
      </c>
      <c r="BQ226">
        <f t="shared" si="73"/>
        <v>1.4640585037126719E-3</v>
      </c>
      <c r="BR226" cm="1">
        <f t="array" ref="BR226">_xlfn.IFS(BQ226&gt;0.9,0,BQ226&lt;0.01,0)</f>
        <v>0</v>
      </c>
      <c r="CA226">
        <v>57</v>
      </c>
      <c r="CB226">
        <v>7.75</v>
      </c>
      <c r="CC226">
        <f t="shared" si="74"/>
        <v>33.75</v>
      </c>
      <c r="CD226">
        <f t="shared" si="75"/>
        <v>-8.7214235351760951E-3</v>
      </c>
      <c r="CE226" cm="1">
        <f t="array" ref="CE226">_xlfn.IFS(CD226&gt;0.9,0,CD226&lt;0.01,0)</f>
        <v>0</v>
      </c>
      <c r="CN226">
        <v>57</v>
      </c>
      <c r="CO226">
        <v>97</v>
      </c>
      <c r="CP226">
        <f t="shared" si="76"/>
        <v>43</v>
      </c>
      <c r="CQ226">
        <f t="shared" si="77"/>
        <v>-7.3241068303248891E-3</v>
      </c>
      <c r="CR226" cm="1">
        <f t="array" ref="CR226">_xlfn.IFS(CQ226&gt;0.9,0,CQ226&lt;0.01,0)</f>
        <v>0</v>
      </c>
      <c r="DN226">
        <v>57</v>
      </c>
      <c r="DO226">
        <v>100</v>
      </c>
      <c r="DP226">
        <f t="shared" si="78"/>
        <v>43.75</v>
      </c>
      <c r="DQ226">
        <f t="shared" si="79"/>
        <v>-2.0715196098585933E-3</v>
      </c>
      <c r="DR226" cm="1">
        <f t="array" ref="DR226">_xlfn.IFS(DQ226&gt;0.9,0,DQ226&lt;0.01,0)</f>
        <v>0</v>
      </c>
    </row>
    <row r="227" spans="14:122" x14ac:dyDescent="0.4">
      <c r="N227">
        <v>57.25</v>
      </c>
      <c r="O227">
        <v>7.25</v>
      </c>
      <c r="P227">
        <f t="shared" si="64"/>
        <v>35.25</v>
      </c>
      <c r="Q227">
        <f t="shared" si="65"/>
        <v>-1.8630217303675439E-3</v>
      </c>
      <c r="R227" cm="1">
        <f t="array" ref="R227">_xlfn.IFS(Q227&gt;0.9,0,Q227&lt;0.01,0)</f>
        <v>0</v>
      </c>
      <c r="AA227">
        <v>56.25</v>
      </c>
      <c r="AB227">
        <v>26.5</v>
      </c>
      <c r="AC227">
        <f t="shared" si="66"/>
        <v>43.25</v>
      </c>
      <c r="AD227">
        <f t="shared" si="67"/>
        <v>-2.5434457359880275E-2</v>
      </c>
      <c r="AE227" cm="1">
        <f t="array" ref="AE227">_xlfn.IFS(AD227&gt;0.9,0,AD227&lt;0.01,0)</f>
        <v>0</v>
      </c>
      <c r="AN227">
        <v>57.25</v>
      </c>
      <c r="AO227">
        <v>26.75</v>
      </c>
      <c r="AP227">
        <f t="shared" si="68"/>
        <v>47.75</v>
      </c>
      <c r="AQ227">
        <f t="shared" si="69"/>
        <v>-3.0276535993549337E-3</v>
      </c>
      <c r="AR227" cm="1">
        <f t="array" ref="AR227">_xlfn.IFS(AQ227&gt;0.9,0,AQ227&lt;0.01,0)</f>
        <v>0</v>
      </c>
      <c r="BA227">
        <v>57.25</v>
      </c>
      <c r="BB227">
        <v>6.75</v>
      </c>
      <c r="BC227">
        <f t="shared" si="70"/>
        <v>39.5</v>
      </c>
      <c r="BD227">
        <f t="shared" si="71"/>
        <v>-1.9288495377927097E-3</v>
      </c>
      <c r="BE227" cm="1">
        <f t="array" ref="BE227">_xlfn.IFS(BD227&gt;0.9,0,BD227&lt;0.01,0)</f>
        <v>0</v>
      </c>
      <c r="BN227">
        <v>57.25</v>
      </c>
      <c r="BO227">
        <v>90.75</v>
      </c>
      <c r="BP227">
        <f t="shared" si="72"/>
        <v>42.25</v>
      </c>
      <c r="BQ227">
        <f t="shared" si="73"/>
        <v>-1.5112861973808117E-3</v>
      </c>
      <c r="BR227" cm="1">
        <f t="array" ref="BR227">_xlfn.IFS(BQ227&gt;0.9,0,BQ227&lt;0.01,0)</f>
        <v>0</v>
      </c>
      <c r="CA227">
        <v>57.25</v>
      </c>
      <c r="CB227">
        <v>7.75</v>
      </c>
      <c r="CC227">
        <f t="shared" si="74"/>
        <v>34</v>
      </c>
      <c r="CD227">
        <f t="shared" si="75"/>
        <v>-8.7214235351760951E-3</v>
      </c>
      <c r="CE227" cm="1">
        <f t="array" ref="CE227">_xlfn.IFS(CD227&gt;0.9,0,CD227&lt;0.01,0)</f>
        <v>0</v>
      </c>
      <c r="CN227">
        <v>57.25</v>
      </c>
      <c r="CO227">
        <v>97.25</v>
      </c>
      <c r="CP227">
        <f t="shared" si="76"/>
        <v>43.25</v>
      </c>
      <c r="CQ227">
        <f t="shared" si="77"/>
        <v>-1.0106627765863154E-2</v>
      </c>
      <c r="CR227" cm="1">
        <f t="array" ref="CR227">_xlfn.IFS(CQ227&gt;0.9,0,CQ227&lt;0.01,0)</f>
        <v>0</v>
      </c>
      <c r="DN227">
        <v>57.25</v>
      </c>
      <c r="DO227">
        <v>100</v>
      </c>
      <c r="DP227">
        <f t="shared" si="78"/>
        <v>44</v>
      </c>
      <c r="DQ227">
        <f t="shared" si="79"/>
        <v>-2.0715196098585933E-3</v>
      </c>
      <c r="DR227" cm="1">
        <f t="array" ref="DR227">_xlfn.IFS(DQ227&gt;0.9,0,DQ227&lt;0.01,0)</f>
        <v>0</v>
      </c>
    </row>
    <row r="228" spans="14:122" x14ac:dyDescent="0.4">
      <c r="N228">
        <v>57.5</v>
      </c>
      <c r="O228">
        <v>7</v>
      </c>
      <c r="P228">
        <f t="shared" si="64"/>
        <v>35.5</v>
      </c>
      <c r="Q228">
        <f t="shared" si="65"/>
        <v>-4.5073106379859978E-3</v>
      </c>
      <c r="R228" cm="1">
        <f t="array" ref="R228">_xlfn.IFS(Q228&gt;0.9,0,Q228&lt;0.01,0)</f>
        <v>0</v>
      </c>
      <c r="AA228">
        <v>56.5</v>
      </c>
      <c r="AB228">
        <v>26.5</v>
      </c>
      <c r="AC228">
        <f t="shared" si="66"/>
        <v>43.5</v>
      </c>
      <c r="AD228">
        <f t="shared" si="67"/>
        <v>-2.5434457359880275E-2</v>
      </c>
      <c r="AE228" cm="1">
        <f t="array" ref="AE228">_xlfn.IFS(AD228&gt;0.9,0,AD228&lt;0.01,0)</f>
        <v>0</v>
      </c>
      <c r="AN228">
        <v>57.5</v>
      </c>
      <c r="AO228">
        <v>26.75</v>
      </c>
      <c r="AP228">
        <f t="shared" si="68"/>
        <v>48</v>
      </c>
      <c r="AQ228">
        <f t="shared" si="69"/>
        <v>-3.0276535993549337E-3</v>
      </c>
      <c r="AR228" cm="1">
        <f t="array" ref="AR228">_xlfn.IFS(AQ228&gt;0.9,0,AQ228&lt;0.01,0)</f>
        <v>0</v>
      </c>
      <c r="BA228">
        <v>57.5</v>
      </c>
      <c r="BB228">
        <v>6.75</v>
      </c>
      <c r="BC228">
        <f t="shared" si="70"/>
        <v>39.75</v>
      </c>
      <c r="BD228">
        <f t="shared" si="71"/>
        <v>-1.9288495377927097E-3</v>
      </c>
      <c r="BE228" cm="1">
        <f t="array" ref="BE228">_xlfn.IFS(BD228&gt;0.9,0,BD228&lt;0.01,0)</f>
        <v>0</v>
      </c>
      <c r="BN228">
        <v>57.5</v>
      </c>
      <c r="BO228">
        <v>90.75</v>
      </c>
      <c r="BP228">
        <f t="shared" si="72"/>
        <v>42.5</v>
      </c>
      <c r="BQ228">
        <f t="shared" si="73"/>
        <v>-1.5112861973808117E-3</v>
      </c>
      <c r="BR228" cm="1">
        <f t="array" ref="BR228">_xlfn.IFS(BQ228&gt;0.9,0,BQ228&lt;0.01,0)</f>
        <v>0</v>
      </c>
      <c r="CA228">
        <v>57.5</v>
      </c>
      <c r="CB228">
        <v>7.75</v>
      </c>
      <c r="CC228">
        <f t="shared" si="74"/>
        <v>34.25</v>
      </c>
      <c r="CD228">
        <f t="shared" si="75"/>
        <v>-8.7214235351760951E-3</v>
      </c>
      <c r="CE228" cm="1">
        <f t="array" ref="CE228">_xlfn.IFS(CD228&gt;0.9,0,CD228&lt;0.01,0)</f>
        <v>0</v>
      </c>
      <c r="CN228">
        <v>57.5</v>
      </c>
      <c r="CO228">
        <v>97.5</v>
      </c>
      <c r="CP228">
        <f t="shared" si="76"/>
        <v>43.5</v>
      </c>
      <c r="CQ228">
        <f t="shared" si="77"/>
        <v>-1.2889148701401419E-2</v>
      </c>
      <c r="CR228" cm="1">
        <f t="array" ref="CR228">_xlfn.IFS(CQ228&gt;0.9,0,CQ228&lt;0.01,0)</f>
        <v>0</v>
      </c>
      <c r="DN228">
        <v>57.5</v>
      </c>
      <c r="DO228">
        <v>100</v>
      </c>
      <c r="DP228">
        <f t="shared" si="78"/>
        <v>44.25</v>
      </c>
      <c r="DQ228">
        <f t="shared" si="79"/>
        <v>-2.0715196098585933E-3</v>
      </c>
      <c r="DR228" cm="1">
        <f t="array" ref="DR228">_xlfn.IFS(DQ228&gt;0.9,0,DQ228&lt;0.01,0)</f>
        <v>0</v>
      </c>
    </row>
    <row r="229" spans="14:122" x14ac:dyDescent="0.4">
      <c r="N229">
        <v>57.75</v>
      </c>
      <c r="O229">
        <v>7</v>
      </c>
      <c r="P229">
        <f t="shared" si="64"/>
        <v>35.75</v>
      </c>
      <c r="Q229">
        <f t="shared" si="65"/>
        <v>-4.5073106379859978E-3</v>
      </c>
      <c r="R229" cm="1">
        <f t="array" ref="R229">_xlfn.IFS(Q229&gt;0.9,0,Q229&lt;0.01,0)</f>
        <v>0</v>
      </c>
      <c r="AA229">
        <v>56.75</v>
      </c>
      <c r="AB229">
        <v>26.5</v>
      </c>
      <c r="AC229">
        <f t="shared" si="66"/>
        <v>43.75</v>
      </c>
      <c r="AD229">
        <f t="shared" si="67"/>
        <v>-2.5434457359880275E-2</v>
      </c>
      <c r="AE229" cm="1">
        <f t="array" ref="AE229">_xlfn.IFS(AD229&gt;0.9,0,AD229&lt;0.01,0)</f>
        <v>0</v>
      </c>
      <c r="AN229">
        <v>57.75</v>
      </c>
      <c r="AO229">
        <v>26.75</v>
      </c>
      <c r="AP229">
        <f t="shared" si="68"/>
        <v>48.25</v>
      </c>
      <c r="AQ229">
        <f t="shared" si="69"/>
        <v>-3.0276535993549337E-3</v>
      </c>
      <c r="AR229" cm="1">
        <f t="array" ref="AR229">_xlfn.IFS(AQ229&gt;0.9,0,AQ229&lt;0.01,0)</f>
        <v>0</v>
      </c>
      <c r="BA229">
        <v>57.75</v>
      </c>
      <c r="BB229">
        <v>6.75</v>
      </c>
      <c r="BC229">
        <f t="shared" si="70"/>
        <v>40</v>
      </c>
      <c r="BD229">
        <f t="shared" si="71"/>
        <v>-1.9288495377927097E-3</v>
      </c>
      <c r="BE229" cm="1">
        <f t="array" ref="BE229">_xlfn.IFS(BD229&gt;0.9,0,BD229&lt;0.01,0)</f>
        <v>0</v>
      </c>
      <c r="BN229">
        <v>57.75</v>
      </c>
      <c r="BO229">
        <v>90.75</v>
      </c>
      <c r="BP229">
        <f t="shared" si="72"/>
        <v>42.75</v>
      </c>
      <c r="BQ229">
        <f t="shared" si="73"/>
        <v>-1.5112861973808117E-3</v>
      </c>
      <c r="BR229" cm="1">
        <f t="array" ref="BR229">_xlfn.IFS(BQ229&gt;0.9,0,BQ229&lt;0.01,0)</f>
        <v>0</v>
      </c>
      <c r="CA229">
        <v>57.75</v>
      </c>
      <c r="CB229">
        <v>7.75</v>
      </c>
      <c r="CC229">
        <f t="shared" si="74"/>
        <v>34.5</v>
      </c>
      <c r="CD229">
        <f t="shared" si="75"/>
        <v>-8.7214235351760951E-3</v>
      </c>
      <c r="CE229" cm="1">
        <f t="array" ref="CE229">_xlfn.IFS(CD229&gt;0.9,0,CD229&lt;0.01,0)</f>
        <v>0</v>
      </c>
      <c r="CN229">
        <v>57.75</v>
      </c>
      <c r="CO229">
        <v>97.5</v>
      </c>
      <c r="CP229">
        <f t="shared" si="76"/>
        <v>43.75</v>
      </c>
      <c r="CQ229">
        <f t="shared" si="77"/>
        <v>-1.2889148701401419E-2</v>
      </c>
      <c r="CR229" cm="1">
        <f t="array" ref="CR229">_xlfn.IFS(CQ229&gt;0.9,0,CQ229&lt;0.01,0)</f>
        <v>0</v>
      </c>
      <c r="DN229">
        <v>57.75</v>
      </c>
      <c r="DO229">
        <v>100</v>
      </c>
      <c r="DP229">
        <f t="shared" si="78"/>
        <v>44.5</v>
      </c>
      <c r="DQ229">
        <f t="shared" si="79"/>
        <v>-2.0715196098585933E-3</v>
      </c>
      <c r="DR229" cm="1">
        <f t="array" ref="DR229">_xlfn.IFS(DQ229&gt;0.9,0,DQ229&lt;0.01,0)</f>
        <v>0</v>
      </c>
    </row>
    <row r="230" spans="14:122" x14ac:dyDescent="0.4">
      <c r="AA230">
        <v>57</v>
      </c>
      <c r="AB230">
        <v>26.5</v>
      </c>
      <c r="AC230">
        <f t="shared" si="66"/>
        <v>44</v>
      </c>
      <c r="AD230">
        <f t="shared" si="67"/>
        <v>-2.5434457359880275E-2</v>
      </c>
      <c r="AE230" cm="1">
        <f t="array" ref="AE230">_xlfn.IFS(AD230&gt;0.9,0,AD230&lt;0.01,0)</f>
        <v>0</v>
      </c>
      <c r="AN230">
        <v>58</v>
      </c>
      <c r="AO230">
        <v>26.75</v>
      </c>
      <c r="AP230">
        <f t="shared" si="68"/>
        <v>48.5</v>
      </c>
      <c r="AQ230">
        <f t="shared" si="69"/>
        <v>-3.0276535993549337E-3</v>
      </c>
      <c r="AR230" cm="1">
        <f t="array" ref="AR230">_xlfn.IFS(AQ230&gt;0.9,0,AQ230&lt;0.01,0)</f>
        <v>0</v>
      </c>
      <c r="BA230">
        <v>58</v>
      </c>
      <c r="BB230">
        <v>6.75</v>
      </c>
      <c r="BC230">
        <f t="shared" si="70"/>
        <v>40.25</v>
      </c>
      <c r="BD230">
        <f t="shared" si="71"/>
        <v>-1.9288495377927097E-3</v>
      </c>
      <c r="BE230" cm="1">
        <f t="array" ref="BE230">_xlfn.IFS(BD230&gt;0.9,0,BD230&lt;0.01,0)</f>
        <v>0</v>
      </c>
      <c r="BN230">
        <v>58</v>
      </c>
      <c r="BO230">
        <v>90.75</v>
      </c>
      <c r="BP230">
        <f t="shared" si="72"/>
        <v>43</v>
      </c>
      <c r="BQ230">
        <f t="shared" si="73"/>
        <v>-1.5112861973808117E-3</v>
      </c>
      <c r="BR230" cm="1">
        <f t="array" ref="BR230">_xlfn.IFS(BQ230&gt;0.9,0,BQ230&lt;0.01,0)</f>
        <v>0</v>
      </c>
      <c r="CA230">
        <v>58</v>
      </c>
      <c r="CB230">
        <v>7.75</v>
      </c>
      <c r="CC230">
        <f t="shared" si="74"/>
        <v>34.75</v>
      </c>
      <c r="CD230">
        <f t="shared" si="75"/>
        <v>-8.7214235351760951E-3</v>
      </c>
      <c r="CE230" cm="1">
        <f t="array" ref="CE230">_xlfn.IFS(CD230&gt;0.9,0,CD230&lt;0.01,0)</f>
        <v>0</v>
      </c>
      <c r="CN230">
        <v>58</v>
      </c>
      <c r="CO230">
        <v>97.75</v>
      </c>
      <c r="CP230">
        <f t="shared" si="76"/>
        <v>44</v>
      </c>
      <c r="CQ230">
        <f t="shared" si="77"/>
        <v>-1.5671669636939684E-2</v>
      </c>
      <c r="CR230" cm="1">
        <f t="array" ref="CR230">_xlfn.IFS(CQ230&gt;0.9,0,CQ230&lt;0.01,0)</f>
        <v>0</v>
      </c>
      <c r="DN230">
        <v>58</v>
      </c>
      <c r="DO230">
        <v>100</v>
      </c>
      <c r="DP230">
        <f t="shared" si="78"/>
        <v>44.75</v>
      </c>
      <c r="DQ230">
        <f t="shared" si="79"/>
        <v>-2.0715196098585933E-3</v>
      </c>
      <c r="DR230" cm="1">
        <f t="array" ref="DR230">_xlfn.IFS(DQ230&gt;0.9,0,DQ230&lt;0.01,0)</f>
        <v>0</v>
      </c>
    </row>
    <row r="231" spans="14:122" x14ac:dyDescent="0.4">
      <c r="AA231">
        <v>57.25</v>
      </c>
      <c r="AB231">
        <v>26.25</v>
      </c>
      <c r="AC231">
        <f t="shared" si="66"/>
        <v>44.25</v>
      </c>
      <c r="AD231">
        <f t="shared" si="67"/>
        <v>-1.2228104499942426E-2</v>
      </c>
      <c r="AE231" cm="1">
        <f t="array" ref="AE231">_xlfn.IFS(AD231&gt;0.9,0,AD231&lt;0.01,0)</f>
        <v>0</v>
      </c>
      <c r="AN231">
        <v>58.25</v>
      </c>
      <c r="AO231">
        <v>26.75</v>
      </c>
      <c r="AP231">
        <f t="shared" si="68"/>
        <v>48.75</v>
      </c>
      <c r="AQ231">
        <f t="shared" si="69"/>
        <v>-3.0276535993549337E-3</v>
      </c>
      <c r="AR231" cm="1">
        <f t="array" ref="AR231">_xlfn.IFS(AQ231&gt;0.9,0,AQ231&lt;0.01,0)</f>
        <v>0</v>
      </c>
      <c r="BA231">
        <v>58.25</v>
      </c>
      <c r="BB231">
        <v>6.75</v>
      </c>
      <c r="BC231">
        <f t="shared" si="70"/>
        <v>40.5</v>
      </c>
      <c r="BD231">
        <f t="shared" si="71"/>
        <v>-1.9288495377927097E-3</v>
      </c>
      <c r="BE231" cm="1">
        <f t="array" ref="BE231">_xlfn.IFS(BD231&gt;0.9,0,BD231&lt;0.01,0)</f>
        <v>0</v>
      </c>
      <c r="BN231">
        <v>58.25</v>
      </c>
      <c r="BO231">
        <v>90.75</v>
      </c>
      <c r="BP231">
        <f t="shared" si="72"/>
        <v>43.25</v>
      </c>
      <c r="BQ231">
        <f t="shared" si="73"/>
        <v>-1.5112861973808117E-3</v>
      </c>
      <c r="BR231" cm="1">
        <f t="array" ref="BR231">_xlfn.IFS(BQ231&gt;0.9,0,BQ231&lt;0.01,0)</f>
        <v>0</v>
      </c>
      <c r="CA231">
        <v>58.25</v>
      </c>
      <c r="CB231">
        <v>7.75</v>
      </c>
      <c r="CC231">
        <f t="shared" si="74"/>
        <v>35</v>
      </c>
      <c r="CD231">
        <f t="shared" si="75"/>
        <v>-8.7214235351760951E-3</v>
      </c>
      <c r="CE231" cm="1">
        <f t="array" ref="CE231">_xlfn.IFS(CD231&gt;0.9,0,CD231&lt;0.01,0)</f>
        <v>0</v>
      </c>
      <c r="CN231">
        <v>58.25</v>
      </c>
      <c r="CO231">
        <v>97.75</v>
      </c>
      <c r="CP231">
        <f t="shared" si="76"/>
        <v>44.25</v>
      </c>
      <c r="CQ231">
        <f t="shared" si="77"/>
        <v>-1.5671669636939684E-2</v>
      </c>
      <c r="CR231" cm="1">
        <f t="array" ref="CR231">_xlfn.IFS(CQ231&gt;0.9,0,CQ231&lt;0.01,0)</f>
        <v>0</v>
      </c>
      <c r="DN231">
        <v>58.25</v>
      </c>
      <c r="DO231">
        <v>100</v>
      </c>
      <c r="DP231">
        <f t="shared" si="78"/>
        <v>45</v>
      </c>
      <c r="DQ231">
        <f t="shared" si="79"/>
        <v>-2.0715196098585933E-3</v>
      </c>
      <c r="DR231" cm="1">
        <f t="array" ref="DR231">_xlfn.IFS(DQ231&gt;0.9,0,DQ231&lt;0.01,0)</f>
        <v>0</v>
      </c>
    </row>
    <row r="232" spans="14:122" x14ac:dyDescent="0.4">
      <c r="AA232">
        <v>57.5</v>
      </c>
      <c r="AB232">
        <v>26.5</v>
      </c>
      <c r="AC232">
        <f t="shared" si="66"/>
        <v>44.5</v>
      </c>
      <c r="AD232">
        <f t="shared" si="67"/>
        <v>-2.5434457359880275E-2</v>
      </c>
      <c r="AE232" cm="1">
        <f t="array" ref="AE232">_xlfn.IFS(AD232&gt;0.9,0,AD232&lt;0.01,0)</f>
        <v>0</v>
      </c>
      <c r="AN232">
        <v>58.5</v>
      </c>
      <c r="AO232">
        <v>26.75</v>
      </c>
      <c r="AP232">
        <f t="shared" si="68"/>
        <v>49</v>
      </c>
      <c r="AQ232">
        <f t="shared" si="69"/>
        <v>-3.0276535993549337E-3</v>
      </c>
      <c r="AR232" cm="1">
        <f t="array" ref="AR232">_xlfn.IFS(AQ232&gt;0.9,0,AQ232&lt;0.01,0)</f>
        <v>0</v>
      </c>
      <c r="BA232">
        <v>58.5</v>
      </c>
      <c r="BB232">
        <v>6.75</v>
      </c>
      <c r="BC232">
        <f t="shared" si="70"/>
        <v>40.75</v>
      </c>
      <c r="BD232">
        <f t="shared" si="71"/>
        <v>-1.9288495377927097E-3</v>
      </c>
      <c r="BE232" cm="1">
        <f t="array" ref="BE232">_xlfn.IFS(BD232&gt;0.9,0,BD232&lt;0.01,0)</f>
        <v>0</v>
      </c>
      <c r="BN232">
        <v>58.5</v>
      </c>
      <c r="BO232">
        <v>91</v>
      </c>
      <c r="BP232">
        <f t="shared" si="72"/>
        <v>43.5</v>
      </c>
      <c r="BQ232">
        <f t="shared" si="73"/>
        <v>-4.4866308984742951E-3</v>
      </c>
      <c r="BR232" cm="1">
        <f t="array" ref="BR232">_xlfn.IFS(BQ232&gt;0.9,0,BQ232&lt;0.01,0)</f>
        <v>0</v>
      </c>
      <c r="CA232">
        <v>58.5</v>
      </c>
      <c r="CB232">
        <v>7.75</v>
      </c>
      <c r="CC232">
        <f t="shared" si="74"/>
        <v>35.25</v>
      </c>
      <c r="CD232">
        <f t="shared" si="75"/>
        <v>-8.7214235351760951E-3</v>
      </c>
      <c r="CE232" cm="1">
        <f t="array" ref="CE232">_xlfn.IFS(CD232&gt;0.9,0,CD232&lt;0.01,0)</f>
        <v>0</v>
      </c>
      <c r="CN232">
        <v>58.5</v>
      </c>
      <c r="CO232">
        <v>97.75</v>
      </c>
      <c r="CP232">
        <f t="shared" si="76"/>
        <v>44.5</v>
      </c>
      <c r="CQ232">
        <f t="shared" si="77"/>
        <v>-1.5671669636939684E-2</v>
      </c>
      <c r="CR232" cm="1">
        <f t="array" ref="CR232">_xlfn.IFS(CQ232&gt;0.9,0,CQ232&lt;0.01,0)</f>
        <v>0</v>
      </c>
      <c r="DN232">
        <v>58.5</v>
      </c>
      <c r="DO232">
        <v>100</v>
      </c>
      <c r="DP232">
        <f t="shared" si="78"/>
        <v>45.25</v>
      </c>
      <c r="DQ232">
        <f t="shared" si="79"/>
        <v>-2.0715196098585933E-3</v>
      </c>
      <c r="DR232" cm="1">
        <f t="array" ref="DR232">_xlfn.IFS(DQ232&gt;0.9,0,DQ232&lt;0.01,0)</f>
        <v>0</v>
      </c>
    </row>
    <row r="233" spans="14:122" x14ac:dyDescent="0.4">
      <c r="AA233">
        <v>57.75</v>
      </c>
      <c r="AB233">
        <v>26.5</v>
      </c>
      <c r="AC233">
        <f t="shared" si="66"/>
        <v>44.75</v>
      </c>
      <c r="AD233">
        <f t="shared" si="67"/>
        <v>-2.5434457359880275E-2</v>
      </c>
      <c r="AE233" cm="1">
        <f t="array" ref="AE233">_xlfn.IFS(AD233&gt;0.9,0,AD233&lt;0.01,0)</f>
        <v>0</v>
      </c>
      <c r="BA233">
        <v>58.75</v>
      </c>
      <c r="BB233">
        <v>6.75</v>
      </c>
      <c r="BC233">
        <f t="shared" si="70"/>
        <v>41</v>
      </c>
      <c r="BD233">
        <f t="shared" si="71"/>
        <v>-1.9288495377927097E-3</v>
      </c>
      <c r="BE233" cm="1">
        <f t="array" ref="BE233">_xlfn.IFS(BD233&gt;0.9,0,BD233&lt;0.01,0)</f>
        <v>0</v>
      </c>
      <c r="BN233">
        <v>58.75</v>
      </c>
      <c r="BO233">
        <v>91</v>
      </c>
      <c r="BP233">
        <f t="shared" si="72"/>
        <v>43.75</v>
      </c>
      <c r="BQ233">
        <f t="shared" si="73"/>
        <v>-4.4866308984742951E-3</v>
      </c>
      <c r="BR233" cm="1">
        <f t="array" ref="BR233">_xlfn.IFS(BQ233&gt;0.9,0,BQ233&lt;0.01,0)</f>
        <v>0</v>
      </c>
      <c r="CA233">
        <v>58.75</v>
      </c>
      <c r="CB233">
        <v>7.75</v>
      </c>
      <c r="CC233">
        <f t="shared" si="74"/>
        <v>35.5</v>
      </c>
      <c r="CD233">
        <f t="shared" si="75"/>
        <v>-8.7214235351760951E-3</v>
      </c>
      <c r="CE233" cm="1">
        <f t="array" ref="CE233">_xlfn.IFS(CD233&gt;0.9,0,CD233&lt;0.01,0)</f>
        <v>0</v>
      </c>
      <c r="CN233">
        <v>58.75</v>
      </c>
      <c r="CO233">
        <v>97.75</v>
      </c>
      <c r="CP233">
        <f t="shared" si="76"/>
        <v>44.75</v>
      </c>
      <c r="CQ233">
        <f t="shared" si="77"/>
        <v>-1.5671669636939684E-2</v>
      </c>
      <c r="CR233" cm="1">
        <f t="array" ref="CR233">_xlfn.IFS(CQ233&gt;0.9,0,CQ233&lt;0.01,0)</f>
        <v>0</v>
      </c>
      <c r="DN233">
        <v>58.75</v>
      </c>
      <c r="DO233">
        <v>100</v>
      </c>
      <c r="DP233">
        <f t="shared" si="78"/>
        <v>45.5</v>
      </c>
      <c r="DQ233">
        <f t="shared" si="79"/>
        <v>-2.0715196098585933E-3</v>
      </c>
      <c r="DR233" cm="1">
        <f t="array" ref="DR233">_xlfn.IFS(DQ233&gt;0.9,0,DQ233&lt;0.01,0)</f>
        <v>0</v>
      </c>
    </row>
    <row r="234" spans="14:122" x14ac:dyDescent="0.4">
      <c r="AA234">
        <v>58</v>
      </c>
      <c r="AB234">
        <v>26.5</v>
      </c>
      <c r="AC234">
        <f t="shared" si="66"/>
        <v>45</v>
      </c>
      <c r="AD234">
        <f t="shared" si="67"/>
        <v>-2.5434457359880275E-2</v>
      </c>
      <c r="AE234" cm="1">
        <f t="array" ref="AE234">_xlfn.IFS(AD234&gt;0.9,0,AD234&lt;0.01,0)</f>
        <v>0</v>
      </c>
      <c r="BA234">
        <v>59</v>
      </c>
      <c r="BB234">
        <v>6.75</v>
      </c>
      <c r="BC234">
        <f t="shared" si="70"/>
        <v>41.25</v>
      </c>
      <c r="BD234">
        <f t="shared" si="71"/>
        <v>-1.9288495377927097E-3</v>
      </c>
      <c r="BE234" cm="1">
        <f t="array" ref="BE234">_xlfn.IFS(BD234&gt;0.9,0,BD234&lt;0.01,0)</f>
        <v>0</v>
      </c>
      <c r="BN234">
        <v>59</v>
      </c>
      <c r="BO234">
        <v>91</v>
      </c>
      <c r="BP234">
        <f t="shared" si="72"/>
        <v>44</v>
      </c>
      <c r="BQ234">
        <f t="shared" si="73"/>
        <v>-4.4866308984742951E-3</v>
      </c>
      <c r="BR234" cm="1">
        <f t="array" ref="BR234">_xlfn.IFS(BQ234&gt;0.9,0,BQ234&lt;0.01,0)</f>
        <v>0</v>
      </c>
      <c r="CA234">
        <v>59</v>
      </c>
      <c r="CB234">
        <v>7.75</v>
      </c>
      <c r="CC234">
        <f t="shared" si="74"/>
        <v>35.75</v>
      </c>
      <c r="CD234">
        <f t="shared" si="75"/>
        <v>-8.7214235351760951E-3</v>
      </c>
      <c r="CE234" cm="1">
        <f t="array" ref="CE234">_xlfn.IFS(CD234&gt;0.9,0,CD234&lt;0.01,0)</f>
        <v>0</v>
      </c>
      <c r="CN234">
        <v>59</v>
      </c>
      <c r="CO234">
        <v>97.5</v>
      </c>
      <c r="CP234">
        <f t="shared" si="76"/>
        <v>45</v>
      </c>
      <c r="CQ234">
        <f t="shared" si="77"/>
        <v>-1.2889148701401419E-2</v>
      </c>
      <c r="CR234" cm="1">
        <f t="array" ref="CR234">_xlfn.IFS(CQ234&gt;0.9,0,CQ234&lt;0.01,0)</f>
        <v>0</v>
      </c>
      <c r="DN234">
        <v>59</v>
      </c>
      <c r="DO234">
        <v>100</v>
      </c>
      <c r="DP234">
        <f t="shared" si="78"/>
        <v>45.75</v>
      </c>
      <c r="DQ234">
        <f t="shared" si="79"/>
        <v>-2.0715196098585933E-3</v>
      </c>
      <c r="DR234" cm="1">
        <f t="array" ref="DR234">_xlfn.IFS(DQ234&gt;0.9,0,DQ234&lt;0.01,0)</f>
        <v>0</v>
      </c>
    </row>
    <row r="235" spans="14:122" x14ac:dyDescent="0.4">
      <c r="AA235">
        <v>58.25</v>
      </c>
      <c r="AB235">
        <v>26.5</v>
      </c>
      <c r="AC235">
        <f t="shared" si="66"/>
        <v>45.25</v>
      </c>
      <c r="AD235">
        <f t="shared" si="67"/>
        <v>-2.5434457359880275E-2</v>
      </c>
      <c r="AE235" cm="1">
        <f t="array" ref="AE235">_xlfn.IFS(AD235&gt;0.9,0,AD235&lt;0.01,0)</f>
        <v>0</v>
      </c>
      <c r="BA235">
        <v>59.25</v>
      </c>
      <c r="BB235">
        <v>6.75</v>
      </c>
      <c r="BC235">
        <f t="shared" si="70"/>
        <v>41.5</v>
      </c>
      <c r="BD235">
        <f t="shared" si="71"/>
        <v>-1.9288495377927097E-3</v>
      </c>
      <c r="BE235" cm="1">
        <f t="array" ref="BE235">_xlfn.IFS(BD235&gt;0.9,0,BD235&lt;0.01,0)</f>
        <v>0</v>
      </c>
      <c r="BN235">
        <v>59.25</v>
      </c>
      <c r="BO235">
        <v>91</v>
      </c>
      <c r="BP235">
        <f t="shared" si="72"/>
        <v>44.25</v>
      </c>
      <c r="BQ235">
        <f t="shared" si="73"/>
        <v>-4.4866308984742951E-3</v>
      </c>
      <c r="BR235" cm="1">
        <f t="array" ref="BR235">_xlfn.IFS(BQ235&gt;0.9,0,BQ235&lt;0.01,0)</f>
        <v>0</v>
      </c>
      <c r="CA235">
        <v>59.25</v>
      </c>
      <c r="CB235">
        <v>7.75</v>
      </c>
      <c r="CC235">
        <f t="shared" si="74"/>
        <v>36</v>
      </c>
      <c r="CD235">
        <f t="shared" si="75"/>
        <v>-8.7214235351760951E-3</v>
      </c>
      <c r="CE235" cm="1">
        <f t="array" ref="CE235">_xlfn.IFS(CD235&gt;0.9,0,CD235&lt;0.01,0)</f>
        <v>0</v>
      </c>
      <c r="CN235">
        <v>59.25</v>
      </c>
      <c r="CO235">
        <v>97.25</v>
      </c>
      <c r="CP235">
        <f t="shared" si="76"/>
        <v>45.25</v>
      </c>
      <c r="CQ235">
        <f t="shared" si="77"/>
        <v>-1.0106627765863154E-2</v>
      </c>
      <c r="CR235" cm="1">
        <f t="array" ref="CR235">_xlfn.IFS(CQ235&gt;0.9,0,CQ235&lt;0.01,0)</f>
        <v>0</v>
      </c>
      <c r="DN235">
        <v>59.25</v>
      </c>
      <c r="DO235">
        <v>100</v>
      </c>
      <c r="DP235">
        <f t="shared" si="78"/>
        <v>46</v>
      </c>
      <c r="DQ235">
        <f t="shared" si="79"/>
        <v>-2.0715196098585933E-3</v>
      </c>
      <c r="DR235" cm="1">
        <f t="array" ref="DR235">_xlfn.IFS(DQ235&gt;0.9,0,DQ235&lt;0.01,0)</f>
        <v>0</v>
      </c>
    </row>
    <row r="236" spans="14:122" x14ac:dyDescent="0.4">
      <c r="AA236">
        <v>58.5</v>
      </c>
      <c r="AB236">
        <v>26.5</v>
      </c>
      <c r="AC236">
        <f t="shared" si="66"/>
        <v>45.5</v>
      </c>
      <c r="AD236">
        <f t="shared" si="67"/>
        <v>-2.5434457359880275E-2</v>
      </c>
      <c r="AE236" cm="1">
        <f t="array" ref="AE236">_xlfn.IFS(AD236&gt;0.9,0,AD236&lt;0.01,0)</f>
        <v>0</v>
      </c>
      <c r="BA236">
        <v>59.500999999999998</v>
      </c>
      <c r="BB236">
        <v>6.75</v>
      </c>
      <c r="BC236">
        <f t="shared" si="70"/>
        <v>41.750999999999998</v>
      </c>
      <c r="BD236">
        <f t="shared" si="71"/>
        <v>-1.9288495377927097E-3</v>
      </c>
      <c r="BE236" cm="1">
        <f t="array" ref="BE236">_xlfn.IFS(BD236&gt;0.9,0,BD236&lt;0.01,0)</f>
        <v>0</v>
      </c>
      <c r="BN236">
        <v>59.5</v>
      </c>
      <c r="BO236">
        <v>91</v>
      </c>
      <c r="BP236">
        <f t="shared" si="72"/>
        <v>44.5</v>
      </c>
      <c r="BQ236">
        <f t="shared" si="73"/>
        <v>-4.4866308984742951E-3</v>
      </c>
      <c r="BR236" cm="1">
        <f t="array" ref="BR236">_xlfn.IFS(BQ236&gt;0.9,0,BQ236&lt;0.01,0)</f>
        <v>0</v>
      </c>
      <c r="CA236">
        <v>59.5</v>
      </c>
      <c r="CB236">
        <v>7.75</v>
      </c>
      <c r="CC236">
        <f t="shared" si="74"/>
        <v>36.25</v>
      </c>
      <c r="CD236">
        <f t="shared" si="75"/>
        <v>-8.7214235351760951E-3</v>
      </c>
      <c r="CE236" cm="1">
        <f t="array" ref="CE236">_xlfn.IFS(CD236&gt;0.9,0,CD236&lt;0.01,0)</f>
        <v>0</v>
      </c>
      <c r="CN236">
        <v>59.5</v>
      </c>
      <c r="CO236">
        <v>97</v>
      </c>
      <c r="CP236">
        <f t="shared" si="76"/>
        <v>45.5</v>
      </c>
      <c r="CQ236">
        <f t="shared" si="77"/>
        <v>-7.3241068303248891E-3</v>
      </c>
      <c r="CR236" cm="1">
        <f t="array" ref="CR236">_xlfn.IFS(CQ236&gt;0.9,0,CQ236&lt;0.01,0)</f>
        <v>0</v>
      </c>
      <c r="DN236">
        <v>59.5</v>
      </c>
      <c r="DO236">
        <v>100</v>
      </c>
      <c r="DP236">
        <f t="shared" si="78"/>
        <v>46.25</v>
      </c>
      <c r="DQ236">
        <f t="shared" si="79"/>
        <v>-2.0715196098585933E-3</v>
      </c>
      <c r="DR236" cm="1">
        <f t="array" ref="DR236">_xlfn.IFS(DQ236&gt;0.9,0,DQ236&lt;0.01,0)</f>
        <v>0</v>
      </c>
    </row>
    <row r="237" spans="14:122" x14ac:dyDescent="0.4">
      <c r="AA237">
        <v>58.75</v>
      </c>
      <c r="AB237">
        <v>26.5</v>
      </c>
      <c r="AC237">
        <f t="shared" si="66"/>
        <v>45.75</v>
      </c>
      <c r="AD237">
        <f t="shared" si="67"/>
        <v>-2.5434457359880275E-2</v>
      </c>
      <c r="AE237" cm="1">
        <f t="array" ref="AE237">_xlfn.IFS(AD237&gt;0.9,0,AD237&lt;0.01,0)</f>
        <v>0</v>
      </c>
      <c r="BA237">
        <v>59.75</v>
      </c>
      <c r="BB237">
        <v>6.75</v>
      </c>
      <c r="BC237">
        <f t="shared" si="70"/>
        <v>42</v>
      </c>
      <c r="BD237">
        <f t="shared" si="71"/>
        <v>-1.9288495377927097E-3</v>
      </c>
      <c r="BE237" cm="1">
        <f t="array" ref="BE237">_xlfn.IFS(BD237&gt;0.9,0,BD237&lt;0.01,0)</f>
        <v>0</v>
      </c>
      <c r="BN237">
        <v>59.75</v>
      </c>
      <c r="BO237">
        <v>91</v>
      </c>
      <c r="BP237">
        <f t="shared" si="72"/>
        <v>44.75</v>
      </c>
      <c r="BQ237">
        <f t="shared" si="73"/>
        <v>-4.4866308984742951E-3</v>
      </c>
      <c r="BR237" cm="1">
        <f t="array" ref="BR237">_xlfn.IFS(BQ237&gt;0.9,0,BQ237&lt;0.01,0)</f>
        <v>0</v>
      </c>
      <c r="CA237">
        <v>59.75</v>
      </c>
      <c r="CB237">
        <v>7.75</v>
      </c>
      <c r="CC237">
        <f t="shared" si="74"/>
        <v>36.5</v>
      </c>
      <c r="CD237">
        <f t="shared" si="75"/>
        <v>-8.7214235351760951E-3</v>
      </c>
      <c r="CE237" cm="1">
        <f t="array" ref="CE237">_xlfn.IFS(CD237&gt;0.9,0,CD237&lt;0.01,0)</f>
        <v>0</v>
      </c>
      <c r="CN237">
        <v>59.75</v>
      </c>
      <c r="CO237">
        <v>97</v>
      </c>
      <c r="CP237">
        <f t="shared" si="76"/>
        <v>45.75</v>
      </c>
      <c r="CQ237">
        <f t="shared" si="77"/>
        <v>-7.3241068303248891E-3</v>
      </c>
      <c r="CR237" cm="1">
        <f t="array" ref="CR237">_xlfn.IFS(CQ237&gt;0.9,0,CQ237&lt;0.01,0)</f>
        <v>0</v>
      </c>
      <c r="DN237">
        <v>59.75</v>
      </c>
      <c r="DO237">
        <v>100</v>
      </c>
      <c r="DP237">
        <f t="shared" si="78"/>
        <v>46.5</v>
      </c>
      <c r="DQ237">
        <f t="shared" si="79"/>
        <v>-2.0715196098585933E-3</v>
      </c>
      <c r="DR237" cm="1">
        <f t="array" ref="DR237">_xlfn.IFS(DQ237&gt;0.9,0,DQ237&lt;0.01,0)</f>
        <v>0</v>
      </c>
    </row>
    <row r="238" spans="14:122" x14ac:dyDescent="0.4">
      <c r="AA238">
        <v>59</v>
      </c>
      <c r="AB238">
        <v>26.5</v>
      </c>
      <c r="AC238">
        <f t="shared" si="66"/>
        <v>46</v>
      </c>
      <c r="AD238">
        <f t="shared" si="67"/>
        <v>-2.5434457359880275E-2</v>
      </c>
      <c r="AE238" cm="1">
        <f t="array" ref="AE238">_xlfn.IFS(AD238&gt;0.9,0,AD238&lt;0.01,0)</f>
        <v>0</v>
      </c>
      <c r="BA238">
        <v>60</v>
      </c>
      <c r="BB238">
        <v>6.75</v>
      </c>
      <c r="BC238">
        <f t="shared" si="70"/>
        <v>42.25</v>
      </c>
      <c r="BD238">
        <f t="shared" si="71"/>
        <v>-1.9288495377927097E-3</v>
      </c>
      <c r="BE238" cm="1">
        <f t="array" ref="BE238">_xlfn.IFS(BD238&gt;0.9,0,BD238&lt;0.01,0)</f>
        <v>0</v>
      </c>
      <c r="BN238">
        <v>60</v>
      </c>
      <c r="BO238">
        <v>91.25</v>
      </c>
      <c r="BP238">
        <f t="shared" si="72"/>
        <v>45</v>
      </c>
      <c r="BQ238">
        <f t="shared" si="73"/>
        <v>-7.4619755995677791E-3</v>
      </c>
      <c r="BR238" cm="1">
        <f t="array" ref="BR238">_xlfn.IFS(BQ238&gt;0.9,0,BQ238&lt;0.01,0)</f>
        <v>0</v>
      </c>
      <c r="CA238">
        <v>60</v>
      </c>
      <c r="CB238">
        <v>7.75</v>
      </c>
      <c r="CC238">
        <f t="shared" si="74"/>
        <v>36.75</v>
      </c>
      <c r="CD238">
        <f t="shared" si="75"/>
        <v>-8.7214235351760951E-3</v>
      </c>
      <c r="CE238" cm="1">
        <f t="array" ref="CE238">_xlfn.IFS(CD238&gt;0.9,0,CD238&lt;0.01,0)</f>
        <v>0</v>
      </c>
      <c r="CN238">
        <v>60</v>
      </c>
      <c r="CO238">
        <v>97</v>
      </c>
      <c r="CP238">
        <f t="shared" si="76"/>
        <v>46</v>
      </c>
      <c r="CQ238">
        <f t="shared" si="77"/>
        <v>-7.3241068303248891E-3</v>
      </c>
      <c r="CR238" cm="1">
        <f t="array" ref="CR238">_xlfn.IFS(CQ238&gt;0.9,0,CQ238&lt;0.01,0)</f>
        <v>0</v>
      </c>
      <c r="DN238">
        <v>60</v>
      </c>
      <c r="DO238">
        <v>100</v>
      </c>
      <c r="DP238">
        <f t="shared" si="78"/>
        <v>46.75</v>
      </c>
      <c r="DQ238">
        <f t="shared" si="79"/>
        <v>-2.0715196098585933E-3</v>
      </c>
      <c r="DR238" cm="1">
        <f t="array" ref="DR238">_xlfn.IFS(DQ238&gt;0.9,0,DQ238&lt;0.01,0)</f>
        <v>0</v>
      </c>
    </row>
    <row r="239" spans="14:122" x14ac:dyDescent="0.4">
      <c r="AA239">
        <v>59.25</v>
      </c>
      <c r="AB239">
        <v>26.5</v>
      </c>
      <c r="AC239">
        <f t="shared" si="66"/>
        <v>46.25</v>
      </c>
      <c r="AD239">
        <f t="shared" si="67"/>
        <v>-2.5434457359880275E-2</v>
      </c>
      <c r="AE239" cm="1">
        <f t="array" ref="AE239">_xlfn.IFS(AD239&gt;0.9,0,AD239&lt;0.01,0)</f>
        <v>0</v>
      </c>
      <c r="BA239">
        <v>60.25</v>
      </c>
      <c r="BB239">
        <v>6.75</v>
      </c>
      <c r="BC239">
        <f t="shared" si="70"/>
        <v>42.5</v>
      </c>
      <c r="BD239">
        <f t="shared" si="71"/>
        <v>-1.9288495377927097E-3</v>
      </c>
      <c r="BE239" cm="1">
        <f t="array" ref="BE239">_xlfn.IFS(BD239&gt;0.9,0,BD239&lt;0.01,0)</f>
        <v>0</v>
      </c>
      <c r="BN239">
        <v>60.25</v>
      </c>
      <c r="BO239">
        <v>91.25</v>
      </c>
      <c r="BP239">
        <f t="shared" si="72"/>
        <v>45.25</v>
      </c>
      <c r="BQ239">
        <f t="shared" si="73"/>
        <v>-7.4619755995677791E-3</v>
      </c>
      <c r="BR239" cm="1">
        <f t="array" ref="BR239">_xlfn.IFS(BQ239&gt;0.9,0,BQ239&lt;0.01,0)</f>
        <v>0</v>
      </c>
      <c r="CA239">
        <v>60.25</v>
      </c>
      <c r="CB239">
        <v>7.75</v>
      </c>
      <c r="CC239">
        <f t="shared" si="74"/>
        <v>37</v>
      </c>
      <c r="CD239">
        <f t="shared" si="75"/>
        <v>-8.7214235351760951E-3</v>
      </c>
      <c r="CE239" cm="1">
        <f t="array" ref="CE239">_xlfn.IFS(CD239&gt;0.9,0,CD239&lt;0.01,0)</f>
        <v>0</v>
      </c>
      <c r="CN239">
        <v>60.25</v>
      </c>
      <c r="CO239">
        <v>97</v>
      </c>
      <c r="CP239">
        <f t="shared" si="76"/>
        <v>46.25</v>
      </c>
      <c r="CQ239">
        <f t="shared" si="77"/>
        <v>-7.3241068303248891E-3</v>
      </c>
      <c r="CR239" cm="1">
        <f t="array" ref="CR239">_xlfn.IFS(CQ239&gt;0.9,0,CQ239&lt;0.01,0)</f>
        <v>0</v>
      </c>
      <c r="DN239">
        <v>60.25</v>
      </c>
      <c r="DO239">
        <v>100</v>
      </c>
      <c r="DP239">
        <f t="shared" si="78"/>
        <v>47</v>
      </c>
      <c r="DQ239">
        <f t="shared" si="79"/>
        <v>-2.0715196098585933E-3</v>
      </c>
      <c r="DR239" cm="1">
        <f t="array" ref="DR239">_xlfn.IFS(DQ239&gt;0.9,0,DQ239&lt;0.01,0)</f>
        <v>0</v>
      </c>
    </row>
    <row r="240" spans="14:122" x14ac:dyDescent="0.4">
      <c r="AA240">
        <v>59.5</v>
      </c>
      <c r="AB240">
        <v>26.5</v>
      </c>
      <c r="AC240">
        <f t="shared" si="66"/>
        <v>46.5</v>
      </c>
      <c r="AD240">
        <f t="shared" si="67"/>
        <v>-2.5434457359880275E-2</v>
      </c>
      <c r="AE240" cm="1">
        <f t="array" ref="AE240">_xlfn.IFS(AD240&gt;0.9,0,AD240&lt;0.01,0)</f>
        <v>0</v>
      </c>
      <c r="BA240">
        <v>60.5</v>
      </c>
      <c r="BB240">
        <v>6.75</v>
      </c>
      <c r="BC240">
        <f t="shared" si="70"/>
        <v>42.75</v>
      </c>
      <c r="BD240">
        <f t="shared" si="71"/>
        <v>-1.9288495377927097E-3</v>
      </c>
      <c r="BE240" cm="1">
        <f t="array" ref="BE240">_xlfn.IFS(BD240&gt;0.9,0,BD240&lt;0.01,0)</f>
        <v>0</v>
      </c>
      <c r="BN240">
        <v>60.5</v>
      </c>
      <c r="BO240">
        <v>91.25</v>
      </c>
      <c r="BP240">
        <f t="shared" si="72"/>
        <v>45.5</v>
      </c>
      <c r="BQ240">
        <f t="shared" si="73"/>
        <v>-7.4619755995677791E-3</v>
      </c>
      <c r="BR240" cm="1">
        <f t="array" ref="BR240">_xlfn.IFS(BQ240&gt;0.9,0,BQ240&lt;0.01,0)</f>
        <v>0</v>
      </c>
      <c r="CA240">
        <v>60.5</v>
      </c>
      <c r="CB240">
        <v>7.75</v>
      </c>
      <c r="CC240">
        <f t="shared" si="74"/>
        <v>37.25</v>
      </c>
      <c r="CD240">
        <f t="shared" si="75"/>
        <v>-8.7214235351760951E-3</v>
      </c>
      <c r="CE240" cm="1">
        <f t="array" ref="CE240">_xlfn.IFS(CD240&gt;0.9,0,CD240&lt;0.01,0)</f>
        <v>0</v>
      </c>
      <c r="CN240">
        <v>60.5</v>
      </c>
      <c r="CO240">
        <v>96.75</v>
      </c>
      <c r="CP240">
        <f t="shared" si="76"/>
        <v>46.5</v>
      </c>
      <c r="CQ240">
        <f t="shared" si="77"/>
        <v>-4.541585894786624E-3</v>
      </c>
      <c r="CR240" cm="1">
        <f t="array" ref="CR240">_xlfn.IFS(CQ240&gt;0.9,0,CQ240&lt;0.01,0)</f>
        <v>0</v>
      </c>
      <c r="DN240">
        <v>60.5</v>
      </c>
      <c r="DO240">
        <v>100</v>
      </c>
      <c r="DP240">
        <f t="shared" si="78"/>
        <v>47.25</v>
      </c>
      <c r="DQ240">
        <f t="shared" si="79"/>
        <v>-2.0715196098585933E-3</v>
      </c>
      <c r="DR240" cm="1">
        <f t="array" ref="DR240">_xlfn.IFS(DQ240&gt;0.9,0,DQ240&lt;0.01,0)</f>
        <v>0</v>
      </c>
    </row>
    <row r="241" spans="27:122" x14ac:dyDescent="0.4">
      <c r="AA241">
        <v>59.75</v>
      </c>
      <c r="AB241">
        <v>26.5</v>
      </c>
      <c r="AC241">
        <f t="shared" si="66"/>
        <v>46.75</v>
      </c>
      <c r="AD241">
        <f t="shared" si="67"/>
        <v>-2.5434457359880275E-2</v>
      </c>
      <c r="AE241" cm="1">
        <f t="array" ref="AE241">_xlfn.IFS(AD241&gt;0.9,0,AD241&lt;0.01,0)</f>
        <v>0</v>
      </c>
      <c r="BA241">
        <v>60.75</v>
      </c>
      <c r="BB241">
        <v>6.75</v>
      </c>
      <c r="BC241">
        <f t="shared" si="70"/>
        <v>43</v>
      </c>
      <c r="BD241">
        <f t="shared" si="71"/>
        <v>-1.9288495377927097E-3</v>
      </c>
      <c r="BE241" cm="1">
        <f t="array" ref="BE241">_xlfn.IFS(BD241&gt;0.9,0,BD241&lt;0.01,0)</f>
        <v>0</v>
      </c>
      <c r="BN241">
        <v>60.75</v>
      </c>
      <c r="BO241">
        <v>91.25</v>
      </c>
      <c r="BP241">
        <f t="shared" si="72"/>
        <v>45.75</v>
      </c>
      <c r="BQ241">
        <f t="shared" si="73"/>
        <v>-7.4619755995677791E-3</v>
      </c>
      <c r="BR241" cm="1">
        <f t="array" ref="BR241">_xlfn.IFS(BQ241&gt;0.9,0,BQ241&lt;0.01,0)</f>
        <v>0</v>
      </c>
      <c r="CA241">
        <v>60.75</v>
      </c>
      <c r="CB241">
        <v>7.5</v>
      </c>
      <c r="CC241">
        <f t="shared" si="74"/>
        <v>37.5</v>
      </c>
      <c r="CD241">
        <f t="shared" si="75"/>
        <v>-1.1699470595967931E-2</v>
      </c>
      <c r="CE241" cm="1">
        <f t="array" ref="CE241">_xlfn.IFS(CD241&gt;0.9,0,CD241&lt;0.01,0)</f>
        <v>0</v>
      </c>
      <c r="CN241">
        <v>60.75</v>
      </c>
      <c r="CO241">
        <v>96.75</v>
      </c>
      <c r="CP241">
        <f t="shared" si="76"/>
        <v>46.75</v>
      </c>
      <c r="CQ241">
        <f t="shared" si="77"/>
        <v>-4.541585894786624E-3</v>
      </c>
      <c r="CR241" cm="1">
        <f t="array" ref="CR241">_xlfn.IFS(CQ241&gt;0.9,0,CQ241&lt;0.01,0)</f>
        <v>0</v>
      </c>
      <c r="DN241">
        <v>60.75</v>
      </c>
      <c r="DO241">
        <v>100</v>
      </c>
      <c r="DP241">
        <f t="shared" si="78"/>
        <v>47.5</v>
      </c>
      <c r="DQ241">
        <f t="shared" si="79"/>
        <v>-2.0715196098585933E-3</v>
      </c>
      <c r="DR241" cm="1">
        <f t="array" ref="DR241">_xlfn.IFS(DQ241&gt;0.9,0,DQ241&lt;0.01,0)</f>
        <v>0</v>
      </c>
    </row>
    <row r="242" spans="27:122" x14ac:dyDescent="0.4">
      <c r="AA242">
        <v>60</v>
      </c>
      <c r="AB242">
        <v>26.5</v>
      </c>
      <c r="AC242">
        <f t="shared" si="66"/>
        <v>47</v>
      </c>
      <c r="AD242">
        <f t="shared" si="67"/>
        <v>-2.5434457359880275E-2</v>
      </c>
      <c r="AE242" cm="1">
        <f t="array" ref="AE242">_xlfn.IFS(AD242&gt;0.9,0,AD242&lt;0.01,0)</f>
        <v>0</v>
      </c>
      <c r="BA242">
        <v>61</v>
      </c>
      <c r="BB242">
        <v>6.75</v>
      </c>
      <c r="BC242">
        <f t="shared" si="70"/>
        <v>43.25</v>
      </c>
      <c r="BD242">
        <f t="shared" si="71"/>
        <v>-1.9288495377927097E-3</v>
      </c>
      <c r="BE242" cm="1">
        <f t="array" ref="BE242">_xlfn.IFS(BD242&gt;0.9,0,BD242&lt;0.01,0)</f>
        <v>0</v>
      </c>
      <c r="BN242">
        <v>61</v>
      </c>
      <c r="BO242">
        <v>91.25</v>
      </c>
      <c r="BP242">
        <f t="shared" si="72"/>
        <v>46</v>
      </c>
      <c r="BQ242">
        <f t="shared" si="73"/>
        <v>-7.4619755995677791E-3</v>
      </c>
      <c r="BR242" cm="1">
        <f t="array" ref="BR242">_xlfn.IFS(BQ242&gt;0.9,0,BQ242&lt;0.01,0)</f>
        <v>0</v>
      </c>
      <c r="CA242">
        <v>61</v>
      </c>
      <c r="CB242">
        <v>7.75</v>
      </c>
      <c r="CC242">
        <f t="shared" si="74"/>
        <v>37.75</v>
      </c>
      <c r="CD242">
        <f t="shared" si="75"/>
        <v>-8.7214235351760951E-3</v>
      </c>
      <c r="CE242" cm="1">
        <f t="array" ref="CE242">_xlfn.IFS(CD242&gt;0.9,0,CD242&lt;0.01,0)</f>
        <v>0</v>
      </c>
      <c r="CN242">
        <v>61</v>
      </c>
      <c r="CO242">
        <v>96.75</v>
      </c>
      <c r="CP242">
        <f t="shared" si="76"/>
        <v>47</v>
      </c>
      <c r="CQ242">
        <f t="shared" si="77"/>
        <v>-4.541585894786624E-3</v>
      </c>
      <c r="CR242" cm="1">
        <f t="array" ref="CR242">_xlfn.IFS(CQ242&gt;0.9,0,CQ242&lt;0.01,0)</f>
        <v>0</v>
      </c>
      <c r="DN242">
        <v>61</v>
      </c>
      <c r="DO242">
        <v>100</v>
      </c>
      <c r="DP242">
        <f t="shared" si="78"/>
        <v>47.75</v>
      </c>
      <c r="DQ242">
        <f t="shared" si="79"/>
        <v>-2.0715196098585933E-3</v>
      </c>
      <c r="DR242" cm="1">
        <f t="array" ref="DR242">_xlfn.IFS(DQ242&gt;0.9,0,DQ242&lt;0.01,0)</f>
        <v>0</v>
      </c>
    </row>
    <row r="243" spans="27:122" x14ac:dyDescent="0.4">
      <c r="AA243">
        <v>60.25</v>
      </c>
      <c r="AB243">
        <v>26.5</v>
      </c>
      <c r="AC243">
        <f t="shared" si="66"/>
        <v>47.25</v>
      </c>
      <c r="AD243">
        <f t="shared" si="67"/>
        <v>-2.5434457359880275E-2</v>
      </c>
      <c r="AE243" cm="1">
        <f t="array" ref="AE243">_xlfn.IFS(AD243&gt;0.9,0,AD243&lt;0.01,0)</f>
        <v>0</v>
      </c>
      <c r="BA243">
        <v>61.25</v>
      </c>
      <c r="BB243">
        <v>6.75</v>
      </c>
      <c r="BC243">
        <f t="shared" si="70"/>
        <v>43.5</v>
      </c>
      <c r="BD243">
        <f t="shared" si="71"/>
        <v>-1.9288495377927097E-3</v>
      </c>
      <c r="BE243" cm="1">
        <f t="array" ref="BE243">_xlfn.IFS(BD243&gt;0.9,0,BD243&lt;0.01,0)</f>
        <v>0</v>
      </c>
      <c r="BN243">
        <v>61.25</v>
      </c>
      <c r="BO243">
        <v>91.5</v>
      </c>
      <c r="BP243">
        <f t="shared" si="72"/>
        <v>46.25</v>
      </c>
      <c r="BQ243">
        <f t="shared" si="73"/>
        <v>-1.0437320300661263E-2</v>
      </c>
      <c r="BR243" cm="1">
        <f t="array" ref="BR243">_xlfn.IFS(BQ243&gt;0.9,0,BQ243&lt;0.01,0)</f>
        <v>0</v>
      </c>
      <c r="CA243">
        <v>61.25</v>
      </c>
      <c r="CB243">
        <v>7.75</v>
      </c>
      <c r="CC243">
        <f t="shared" si="74"/>
        <v>38</v>
      </c>
      <c r="CD243">
        <f t="shared" si="75"/>
        <v>-8.7214235351760951E-3</v>
      </c>
      <c r="CE243" cm="1">
        <f t="array" ref="CE243">_xlfn.IFS(CD243&gt;0.9,0,CD243&lt;0.01,0)</f>
        <v>0</v>
      </c>
      <c r="CN243">
        <v>61.25</v>
      </c>
      <c r="CO243">
        <v>96.75</v>
      </c>
      <c r="CP243">
        <f t="shared" si="76"/>
        <v>47.25</v>
      </c>
      <c r="CQ243">
        <f t="shared" si="77"/>
        <v>-4.541585894786624E-3</v>
      </c>
      <c r="CR243" cm="1">
        <f t="array" ref="CR243">_xlfn.IFS(CQ243&gt;0.9,0,CQ243&lt;0.01,0)</f>
        <v>0</v>
      </c>
      <c r="DN243">
        <v>61.25</v>
      </c>
      <c r="DO243">
        <v>100</v>
      </c>
      <c r="DP243">
        <f t="shared" si="78"/>
        <v>48</v>
      </c>
      <c r="DQ243">
        <f t="shared" si="79"/>
        <v>-2.0715196098585933E-3</v>
      </c>
      <c r="DR243" cm="1">
        <f t="array" ref="DR243">_xlfn.IFS(DQ243&gt;0.9,0,DQ243&lt;0.01,0)</f>
        <v>0</v>
      </c>
    </row>
    <row r="244" spans="27:122" x14ac:dyDescent="0.4">
      <c r="AA244">
        <v>60.5</v>
      </c>
      <c r="AB244">
        <v>26.5</v>
      </c>
      <c r="AC244">
        <f t="shared" si="66"/>
        <v>47.5</v>
      </c>
      <c r="AD244">
        <f t="shared" si="67"/>
        <v>-2.5434457359880275E-2</v>
      </c>
      <c r="AE244" cm="1">
        <f t="array" ref="AE244">_xlfn.IFS(AD244&gt;0.9,0,AD244&lt;0.01,0)</f>
        <v>0</v>
      </c>
      <c r="BA244">
        <v>61.5</v>
      </c>
      <c r="BB244">
        <v>6.75</v>
      </c>
      <c r="BC244">
        <f t="shared" si="70"/>
        <v>43.75</v>
      </c>
      <c r="BD244">
        <f t="shared" si="71"/>
        <v>-1.9288495377927097E-3</v>
      </c>
      <c r="BE244" cm="1">
        <f t="array" ref="BE244">_xlfn.IFS(BD244&gt;0.9,0,BD244&lt;0.01,0)</f>
        <v>0</v>
      </c>
      <c r="BN244">
        <v>61.5</v>
      </c>
      <c r="BO244">
        <v>91.5</v>
      </c>
      <c r="BP244">
        <f t="shared" si="72"/>
        <v>46.5</v>
      </c>
      <c r="BQ244">
        <f t="shared" si="73"/>
        <v>-1.0437320300661263E-2</v>
      </c>
      <c r="BR244" cm="1">
        <f t="array" ref="BR244">_xlfn.IFS(BQ244&gt;0.9,0,BQ244&lt;0.01,0)</f>
        <v>0</v>
      </c>
      <c r="CA244">
        <v>61.5</v>
      </c>
      <c r="CB244">
        <v>7.75</v>
      </c>
      <c r="CC244">
        <f t="shared" si="74"/>
        <v>38.25</v>
      </c>
      <c r="CD244">
        <f t="shared" si="75"/>
        <v>-8.7214235351760951E-3</v>
      </c>
      <c r="CE244" cm="1">
        <f t="array" ref="CE244">_xlfn.IFS(CD244&gt;0.9,0,CD244&lt;0.01,0)</f>
        <v>0</v>
      </c>
      <c r="CN244">
        <v>61.5</v>
      </c>
      <c r="CO244">
        <v>96.5</v>
      </c>
      <c r="CP244">
        <f t="shared" si="76"/>
        <v>47.5</v>
      </c>
      <c r="CQ244">
        <f t="shared" si="77"/>
        <v>-1.7590649592483594E-3</v>
      </c>
      <c r="CR244" cm="1">
        <f t="array" ref="CR244">_xlfn.IFS(CQ244&gt;0.9,0,CQ244&lt;0.01,0)</f>
        <v>0</v>
      </c>
      <c r="DN244">
        <v>61.5</v>
      </c>
      <c r="DO244">
        <v>100</v>
      </c>
      <c r="DP244">
        <f t="shared" si="78"/>
        <v>48.25</v>
      </c>
      <c r="DQ244">
        <f t="shared" si="79"/>
        <v>-2.0715196098585933E-3</v>
      </c>
      <c r="DR244" cm="1">
        <f t="array" ref="DR244">_xlfn.IFS(DQ244&gt;0.9,0,DQ244&lt;0.01,0)</f>
        <v>0</v>
      </c>
    </row>
    <row r="245" spans="27:122" x14ac:dyDescent="0.4">
      <c r="AA245">
        <v>60.75</v>
      </c>
      <c r="AB245">
        <v>26.5</v>
      </c>
      <c r="AC245">
        <f t="shared" si="66"/>
        <v>47.75</v>
      </c>
      <c r="AD245">
        <f t="shared" si="67"/>
        <v>-2.5434457359880275E-2</v>
      </c>
      <c r="AE245" cm="1">
        <f t="array" ref="AE245">_xlfn.IFS(AD245&gt;0.9,0,AD245&lt;0.01,0)</f>
        <v>0</v>
      </c>
      <c r="BA245">
        <v>61.75</v>
      </c>
      <c r="BB245">
        <v>6.75</v>
      </c>
      <c r="BC245">
        <f t="shared" si="70"/>
        <v>44</v>
      </c>
      <c r="BD245">
        <f t="shared" si="71"/>
        <v>-1.9288495377927097E-3</v>
      </c>
      <c r="BE245" cm="1">
        <f t="array" ref="BE245">_xlfn.IFS(BD245&gt;0.9,0,BD245&lt;0.01,0)</f>
        <v>0</v>
      </c>
      <c r="BN245">
        <v>61.75</v>
      </c>
      <c r="BO245">
        <v>91.5</v>
      </c>
      <c r="BP245">
        <f t="shared" si="72"/>
        <v>46.75</v>
      </c>
      <c r="BQ245">
        <f t="shared" si="73"/>
        <v>-1.0437320300661263E-2</v>
      </c>
      <c r="BR245" cm="1">
        <f t="array" ref="BR245">_xlfn.IFS(BQ245&gt;0.9,0,BQ245&lt;0.01,0)</f>
        <v>0</v>
      </c>
      <c r="CA245">
        <v>61.75</v>
      </c>
      <c r="CB245">
        <v>7.75</v>
      </c>
      <c r="CC245">
        <f t="shared" si="74"/>
        <v>38.5</v>
      </c>
      <c r="CD245">
        <f t="shared" si="75"/>
        <v>-8.7214235351760951E-3</v>
      </c>
      <c r="CE245" cm="1">
        <f t="array" ref="CE245">_xlfn.IFS(CD245&gt;0.9,0,CD245&lt;0.01,0)</f>
        <v>0</v>
      </c>
      <c r="CN245">
        <v>61.75</v>
      </c>
      <c r="CO245">
        <v>96.75</v>
      </c>
      <c r="CP245">
        <f t="shared" si="76"/>
        <v>47.75</v>
      </c>
      <c r="CQ245">
        <f t="shared" si="77"/>
        <v>-4.541585894786624E-3</v>
      </c>
      <c r="CR245" cm="1">
        <f t="array" ref="CR245">_xlfn.IFS(CQ245&gt;0.9,0,CQ245&lt;0.01,0)</f>
        <v>0</v>
      </c>
      <c r="DN245">
        <v>61.75</v>
      </c>
      <c r="DO245">
        <v>100.25</v>
      </c>
      <c r="DP245">
        <f t="shared" si="78"/>
        <v>48.5</v>
      </c>
      <c r="DQ245">
        <f t="shared" si="79"/>
        <v>-4.7281249110512199E-3</v>
      </c>
      <c r="DR245" cm="1">
        <f t="array" ref="DR245">_xlfn.IFS(DQ245&gt;0.9,0,DQ245&lt;0.01,0)</f>
        <v>0</v>
      </c>
    </row>
    <row r="246" spans="27:122" x14ac:dyDescent="0.4">
      <c r="AA246">
        <v>61</v>
      </c>
      <c r="AB246">
        <v>26.5</v>
      </c>
      <c r="AC246">
        <f t="shared" si="66"/>
        <v>48</v>
      </c>
      <c r="AD246">
        <f t="shared" si="67"/>
        <v>-2.5434457359880275E-2</v>
      </c>
      <c r="AE246" cm="1">
        <f t="array" ref="AE246">_xlfn.IFS(AD246&gt;0.9,0,AD246&lt;0.01,0)</f>
        <v>0</v>
      </c>
      <c r="BA246">
        <v>62</v>
      </c>
      <c r="BB246">
        <v>6.5</v>
      </c>
      <c r="BC246">
        <f t="shared" si="70"/>
        <v>44.25</v>
      </c>
      <c r="BD246">
        <f t="shared" si="71"/>
        <v>-4.619087051029913E-3</v>
      </c>
      <c r="BE246" cm="1">
        <f t="array" ref="BE246">_xlfn.IFS(BD246&gt;0.9,0,BD246&lt;0.01,0)</f>
        <v>0</v>
      </c>
      <c r="BN246">
        <v>62</v>
      </c>
      <c r="BO246">
        <v>91.5</v>
      </c>
      <c r="BP246">
        <f t="shared" si="72"/>
        <v>47</v>
      </c>
      <c r="BQ246">
        <f t="shared" si="73"/>
        <v>-1.0437320300661263E-2</v>
      </c>
      <c r="BR246" cm="1">
        <f t="array" ref="BR246">_xlfn.IFS(BQ246&gt;0.9,0,BQ246&lt;0.01,0)</f>
        <v>0</v>
      </c>
      <c r="CA246">
        <v>62</v>
      </c>
      <c r="CB246">
        <v>7.75</v>
      </c>
      <c r="CC246">
        <f t="shared" si="74"/>
        <v>38.75</v>
      </c>
      <c r="CD246">
        <f t="shared" si="75"/>
        <v>-8.7214235351760951E-3</v>
      </c>
      <c r="CE246" cm="1">
        <f t="array" ref="CE246">_xlfn.IFS(CD246&gt;0.9,0,CD246&lt;0.01,0)</f>
        <v>0</v>
      </c>
      <c r="CN246">
        <v>62</v>
      </c>
      <c r="CO246">
        <v>96.5</v>
      </c>
      <c r="CP246">
        <f t="shared" si="76"/>
        <v>48</v>
      </c>
      <c r="CQ246">
        <f t="shared" si="77"/>
        <v>-1.7590649592483594E-3</v>
      </c>
      <c r="CR246" cm="1">
        <f t="array" ref="CR246">_xlfn.IFS(CQ246&gt;0.9,0,CQ246&lt;0.01,0)</f>
        <v>0</v>
      </c>
      <c r="DN246">
        <v>62</v>
      </c>
      <c r="DO246">
        <v>100.25</v>
      </c>
      <c r="DP246">
        <f t="shared" si="78"/>
        <v>48.75</v>
      </c>
      <c r="DQ246">
        <f t="shared" si="79"/>
        <v>-4.7281249110512199E-3</v>
      </c>
      <c r="DR246" cm="1">
        <f t="array" ref="DR246">_xlfn.IFS(DQ246&gt;0.9,0,DQ246&lt;0.01,0)</f>
        <v>0</v>
      </c>
    </row>
    <row r="247" spans="27:122" x14ac:dyDescent="0.4">
      <c r="AA247">
        <v>61.25</v>
      </c>
      <c r="AB247">
        <v>26.5</v>
      </c>
      <c r="AC247">
        <f t="shared" si="66"/>
        <v>48.25</v>
      </c>
      <c r="AD247">
        <f t="shared" si="67"/>
        <v>-2.5434457359880275E-2</v>
      </c>
      <c r="AE247" cm="1">
        <f t="array" ref="AE247">_xlfn.IFS(AD247&gt;0.9,0,AD247&lt;0.01,0)</f>
        <v>0</v>
      </c>
      <c r="CA247">
        <v>62.250999999999998</v>
      </c>
      <c r="CB247">
        <v>7.75</v>
      </c>
      <c r="CC247">
        <f t="shared" si="74"/>
        <v>39.000999999999998</v>
      </c>
      <c r="CD247">
        <f t="shared" si="75"/>
        <v>-8.7214235351760951E-3</v>
      </c>
      <c r="CE247" cm="1">
        <f t="array" ref="CE247">_xlfn.IFS(CD247&gt;0.9,0,CD247&lt;0.01,0)</f>
        <v>0</v>
      </c>
      <c r="CN247">
        <v>62.250999999999998</v>
      </c>
      <c r="CO247">
        <v>96.5</v>
      </c>
      <c r="CP247">
        <f t="shared" si="76"/>
        <v>48.250999999999998</v>
      </c>
      <c r="CQ247">
        <f t="shared" si="77"/>
        <v>-1.7590649592483594E-3</v>
      </c>
      <c r="CR247" cm="1">
        <f t="array" ref="CR247">_xlfn.IFS(CQ247&gt;0.9,0,CQ247&lt;0.01,0)</f>
        <v>0</v>
      </c>
      <c r="DN247">
        <v>62.250999999999998</v>
      </c>
      <c r="DO247">
        <v>100</v>
      </c>
      <c r="DP247">
        <f t="shared" si="78"/>
        <v>49.000999999999998</v>
      </c>
      <c r="DQ247">
        <f t="shared" si="79"/>
        <v>-2.0715196098585933E-3</v>
      </c>
      <c r="DR247" cm="1">
        <f t="array" ref="DR247">_xlfn.IFS(DQ247&gt;0.9,0,DQ247&lt;0.01,0)</f>
        <v>0</v>
      </c>
    </row>
    <row r="248" spans="27:122" x14ac:dyDescent="0.4">
      <c r="AA248">
        <v>61.5</v>
      </c>
      <c r="AB248">
        <v>26.5</v>
      </c>
      <c r="AC248">
        <f t="shared" si="66"/>
        <v>48.5</v>
      </c>
      <c r="AD248">
        <f t="shared" si="67"/>
        <v>-2.5434457359880275E-2</v>
      </c>
      <c r="AE248" cm="1">
        <f t="array" ref="AE248">_xlfn.IFS(AD248&gt;0.9,0,AD248&lt;0.01,0)</f>
        <v>0</v>
      </c>
      <c r="CN248">
        <v>62.5</v>
      </c>
      <c r="CO248">
        <v>96.5</v>
      </c>
      <c r="CP248">
        <f t="shared" si="76"/>
        <v>48.5</v>
      </c>
      <c r="CQ248">
        <f t="shared" si="77"/>
        <v>-1.7590649592483594E-3</v>
      </c>
      <c r="CR248" cm="1">
        <f t="array" ref="CR248">_xlfn.IFS(CQ248&gt;0.9,0,CQ248&lt;0.01,0)</f>
        <v>0</v>
      </c>
      <c r="DN248">
        <v>62.5</v>
      </c>
      <c r="DO248">
        <v>100</v>
      </c>
      <c r="DP248">
        <f t="shared" si="78"/>
        <v>49.25</v>
      </c>
      <c r="DQ248">
        <f t="shared" si="79"/>
        <v>-2.0715196098585933E-3</v>
      </c>
      <c r="DR248" cm="1">
        <f t="array" ref="DR248">_xlfn.IFS(DQ248&gt;0.9,0,DQ248&lt;0.01,0)</f>
        <v>0</v>
      </c>
    </row>
    <row r="249" spans="27:122" x14ac:dyDescent="0.4">
      <c r="AA249">
        <v>61.75</v>
      </c>
      <c r="AB249">
        <v>26.5</v>
      </c>
      <c r="AC249">
        <f t="shared" si="66"/>
        <v>48.75</v>
      </c>
      <c r="AD249">
        <f t="shared" si="67"/>
        <v>-2.5434457359880275E-2</v>
      </c>
      <c r="AE249" cm="1">
        <f t="array" ref="AE249">_xlfn.IFS(AD249&gt;0.9,0,AD249&lt;0.01,0)</f>
        <v>0</v>
      </c>
      <c r="CN249">
        <v>62.75</v>
      </c>
      <c r="CO249">
        <v>96.75</v>
      </c>
      <c r="CP249">
        <f t="shared" si="76"/>
        <v>48.75</v>
      </c>
      <c r="CQ249">
        <f t="shared" si="77"/>
        <v>-4.541585894786624E-3</v>
      </c>
      <c r="CR249" cm="1">
        <f t="array" ref="CR249">_xlfn.IFS(CQ249&gt;0.9,0,CQ249&lt;0.01,0)</f>
        <v>0</v>
      </c>
      <c r="DN249">
        <v>62.75</v>
      </c>
      <c r="DO249">
        <v>100</v>
      </c>
      <c r="DP249">
        <f t="shared" si="78"/>
        <v>49.5</v>
      </c>
      <c r="DQ249">
        <f t="shared" si="79"/>
        <v>-2.0715196098585933E-3</v>
      </c>
      <c r="DR249" cm="1">
        <f t="array" ref="DR249">_xlfn.IFS(DQ249&gt;0.9,0,DQ249&lt;0.01,0)</f>
        <v>0</v>
      </c>
    </row>
    <row r="250" spans="27:122" x14ac:dyDescent="0.4">
      <c r="AA250">
        <v>62</v>
      </c>
      <c r="AB250">
        <v>26.5</v>
      </c>
      <c r="AC250">
        <f t="shared" si="66"/>
        <v>49</v>
      </c>
      <c r="AD250">
        <f t="shared" si="67"/>
        <v>-2.5434457359880275E-2</v>
      </c>
      <c r="AE250" cm="1">
        <f t="array" ref="AE250">_xlfn.IFS(AD250&gt;0.9,0,AD250&lt;0.01,0)</f>
        <v>0</v>
      </c>
      <c r="CN250">
        <v>63</v>
      </c>
      <c r="CO250">
        <v>96.75</v>
      </c>
      <c r="CP250">
        <f t="shared" si="76"/>
        <v>49</v>
      </c>
      <c r="CQ250">
        <f t="shared" si="77"/>
        <v>-4.541585894786624E-3</v>
      </c>
      <c r="CR250" cm="1">
        <f t="array" ref="CR250">_xlfn.IFS(CQ250&gt;0.9,0,CQ250&lt;0.01,0)</f>
        <v>0</v>
      </c>
      <c r="DN250">
        <v>63</v>
      </c>
      <c r="DO250">
        <v>100</v>
      </c>
      <c r="DP250">
        <f t="shared" si="78"/>
        <v>49.75</v>
      </c>
      <c r="DQ250">
        <f t="shared" si="79"/>
        <v>-2.0715196098585933E-3</v>
      </c>
      <c r="DR250" cm="1">
        <f t="array" ref="DR250">_xlfn.IFS(DQ250&gt;0.9,0,DQ250&lt;0.01,0)</f>
        <v>0</v>
      </c>
    </row>
    <row r="251" spans="27:122" x14ac:dyDescent="0.4">
      <c r="AA251">
        <v>62.25</v>
      </c>
      <c r="AB251">
        <v>26.5</v>
      </c>
      <c r="AC251">
        <f t="shared" si="66"/>
        <v>49.25</v>
      </c>
      <c r="AD251">
        <f t="shared" si="67"/>
        <v>-2.5434457359880275E-2</v>
      </c>
      <c r="AE251" cm="1">
        <f t="array" ref="AE251">_xlfn.IFS(AD251&gt;0.9,0,AD251&lt;0.01,0)</f>
        <v>0</v>
      </c>
      <c r="DN251">
        <v>63.25</v>
      </c>
      <c r="DO251">
        <v>100</v>
      </c>
      <c r="DP251">
        <f t="shared" si="78"/>
        <v>50</v>
      </c>
      <c r="DQ251">
        <f t="shared" si="79"/>
        <v>-2.0715196098585933E-3</v>
      </c>
      <c r="DR251" cm="1">
        <f t="array" ref="DR251">_xlfn.IFS(DQ251&gt;0.9,0,DQ251&lt;0.01,0)</f>
        <v>0</v>
      </c>
    </row>
    <row r="252" spans="27:122" x14ac:dyDescent="0.4">
      <c r="AA252">
        <v>62.5</v>
      </c>
      <c r="AB252">
        <v>26.5</v>
      </c>
      <c r="AC252">
        <f t="shared" si="66"/>
        <v>49.5</v>
      </c>
      <c r="AD252">
        <f t="shared" si="67"/>
        <v>-2.5434457359880275E-2</v>
      </c>
      <c r="AE252" cm="1">
        <f t="array" ref="AE252">_xlfn.IFS(AD252&gt;0.9,0,AD252&lt;0.01,0)</f>
        <v>0</v>
      </c>
      <c r="DN252">
        <v>63.5</v>
      </c>
      <c r="DO252">
        <v>100</v>
      </c>
      <c r="DP252">
        <f t="shared" si="78"/>
        <v>50.25</v>
      </c>
      <c r="DQ252">
        <f t="shared" si="79"/>
        <v>-2.0715196098585933E-3</v>
      </c>
      <c r="DR252" cm="1">
        <f t="array" ref="DR252">_xlfn.IFS(DQ252&gt;0.9,0,DQ252&lt;0.01,0)</f>
        <v>0</v>
      </c>
    </row>
    <row r="253" spans="27:122" x14ac:dyDescent="0.4">
      <c r="AA253">
        <v>62.75</v>
      </c>
      <c r="AB253">
        <v>26.5</v>
      </c>
      <c r="AC253">
        <f t="shared" si="66"/>
        <v>49.75</v>
      </c>
      <c r="AD253">
        <f t="shared" si="67"/>
        <v>-2.5434457359880275E-2</v>
      </c>
      <c r="AE253" cm="1">
        <f t="array" ref="AE253">_xlfn.IFS(AD253&gt;0.9,0,AD253&lt;0.01,0)</f>
        <v>0</v>
      </c>
      <c r="DN253">
        <v>63.75</v>
      </c>
      <c r="DO253">
        <v>100</v>
      </c>
      <c r="DP253">
        <f t="shared" si="78"/>
        <v>50.5</v>
      </c>
      <c r="DQ253">
        <f t="shared" si="79"/>
        <v>-2.0715196098585933E-3</v>
      </c>
      <c r="DR253" cm="1">
        <f t="array" ref="DR253">_xlfn.IFS(DQ253&gt;0.9,0,DQ253&lt;0.01,0)</f>
        <v>0</v>
      </c>
    </row>
    <row r="254" spans="27:122" x14ac:dyDescent="0.4">
      <c r="AA254">
        <v>63</v>
      </c>
      <c r="AB254">
        <v>26.5</v>
      </c>
      <c r="AC254">
        <f t="shared" si="66"/>
        <v>50</v>
      </c>
      <c r="AD254">
        <f t="shared" si="67"/>
        <v>-2.5434457359880275E-2</v>
      </c>
      <c r="AE254" cm="1">
        <f t="array" ref="AE254">_xlfn.IFS(AD254&gt;0.9,0,AD254&lt;0.01,0)</f>
        <v>0</v>
      </c>
      <c r="DN254">
        <v>64</v>
      </c>
      <c r="DO254">
        <v>100</v>
      </c>
      <c r="DP254">
        <f t="shared" si="78"/>
        <v>50.75</v>
      </c>
      <c r="DQ254">
        <f t="shared" si="79"/>
        <v>-2.0715196098585933E-3</v>
      </c>
      <c r="DR254" cm="1">
        <f t="array" ref="DR254">_xlfn.IFS(DQ254&gt;0.9,0,DQ254&lt;0.01,0)</f>
        <v>0</v>
      </c>
    </row>
    <row r="255" spans="27:122" x14ac:dyDescent="0.4">
      <c r="AA255">
        <v>63.251000000000005</v>
      </c>
      <c r="AB255">
        <v>26.5</v>
      </c>
      <c r="AC255">
        <f t="shared" si="66"/>
        <v>50.251000000000005</v>
      </c>
      <c r="AD255">
        <f t="shared" si="67"/>
        <v>-2.5434457359880275E-2</v>
      </c>
      <c r="AE255" cm="1">
        <f t="array" ref="AE255">_xlfn.IFS(AD255&gt;0.9,0,AD255&lt;0.01,0)</f>
        <v>0</v>
      </c>
      <c r="DN255">
        <v>64.25</v>
      </c>
      <c r="DO255">
        <v>100</v>
      </c>
      <c r="DP255">
        <f t="shared" si="78"/>
        <v>51</v>
      </c>
      <c r="DQ255">
        <f t="shared" si="79"/>
        <v>-2.0715196098585933E-3</v>
      </c>
      <c r="DR255" cm="1">
        <f t="array" ref="DR255">_xlfn.IFS(DQ255&gt;0.9,0,DQ255&lt;0.01,0)</f>
        <v>0</v>
      </c>
    </row>
    <row r="256" spans="27:122" x14ac:dyDescent="0.4">
      <c r="AA256">
        <v>63.5</v>
      </c>
      <c r="AB256">
        <v>26.5</v>
      </c>
      <c r="AC256">
        <f t="shared" si="66"/>
        <v>50.5</v>
      </c>
      <c r="AD256">
        <f t="shared" si="67"/>
        <v>-2.5434457359880275E-2</v>
      </c>
      <c r="AE256" cm="1">
        <f t="array" ref="AE256">_xlfn.IFS(AD256&gt;0.9,0,AD256&lt;0.01,0)</f>
        <v>0</v>
      </c>
      <c r="DN256">
        <v>64.5</v>
      </c>
      <c r="DO256">
        <v>100</v>
      </c>
      <c r="DP256">
        <f t="shared" si="78"/>
        <v>51.25</v>
      </c>
      <c r="DQ256">
        <f t="shared" si="79"/>
        <v>-2.0715196098585933E-3</v>
      </c>
      <c r="DR256" cm="1">
        <f t="array" ref="DR256">_xlfn.IFS(DQ256&gt;0.9,0,DQ256&lt;0.01,0)</f>
        <v>0</v>
      </c>
    </row>
    <row r="257" spans="118:122" x14ac:dyDescent="0.4">
      <c r="DN257">
        <v>64.75</v>
      </c>
      <c r="DO257">
        <v>100.25</v>
      </c>
      <c r="DP257">
        <f t="shared" si="78"/>
        <v>51.5</v>
      </c>
      <c r="DQ257">
        <f t="shared" si="79"/>
        <v>-4.7281249110512199E-3</v>
      </c>
      <c r="DR257" cm="1">
        <f t="array" ref="DR257">_xlfn.IFS(DQ257&gt;0.9,0,DQ257&lt;0.01,0)</f>
        <v>0</v>
      </c>
    </row>
    <row r="258" spans="118:122" x14ac:dyDescent="0.4">
      <c r="DN258">
        <v>65</v>
      </c>
      <c r="DO258">
        <v>100.25</v>
      </c>
      <c r="DP258">
        <f t="shared" si="78"/>
        <v>51.75</v>
      </c>
      <c r="DQ258">
        <f t="shared" si="79"/>
        <v>-4.7281249110512199E-3</v>
      </c>
      <c r="DR258" cm="1">
        <f t="array" ref="DR258">_xlfn.IFS(DQ258&gt;0.9,0,DQ258&lt;0.01,0)</f>
        <v>0</v>
      </c>
    </row>
    <row r="259" spans="118:122" x14ac:dyDescent="0.4">
      <c r="DN259">
        <v>65.25</v>
      </c>
      <c r="DO259">
        <v>100.25</v>
      </c>
      <c r="DP259">
        <f t="shared" ref="DP259:DP261" si="80">DN259-$DT$5</f>
        <v>52</v>
      </c>
      <c r="DQ259">
        <f t="shared" ref="DQ259:DQ261" si="81">(DO259-$DT$2)/($DT$1-$DT$2)</f>
        <v>-4.7281249110512199E-3</v>
      </c>
      <c r="DR259" cm="1">
        <f t="array" ref="DR259">_xlfn.IFS(DQ259&gt;0.9,0,DQ259&lt;0.01,0)</f>
        <v>0</v>
      </c>
    </row>
    <row r="260" spans="118:122" x14ac:dyDescent="0.4">
      <c r="DN260">
        <v>65.5</v>
      </c>
      <c r="DO260">
        <v>100</v>
      </c>
      <c r="DP260">
        <f t="shared" si="80"/>
        <v>52.25</v>
      </c>
      <c r="DQ260">
        <f t="shared" si="81"/>
        <v>-2.0715196098585933E-3</v>
      </c>
      <c r="DR260" cm="1">
        <f t="array" ref="DR260">_xlfn.IFS(DQ260&gt;0.9,0,DQ260&lt;0.01,0)</f>
        <v>0</v>
      </c>
    </row>
    <row r="261" spans="118:122" x14ac:dyDescent="0.4">
      <c r="DN261">
        <v>65.75</v>
      </c>
      <c r="DO261">
        <v>100.25</v>
      </c>
      <c r="DP261">
        <f t="shared" si="80"/>
        <v>52.5</v>
      </c>
      <c r="DQ261">
        <f t="shared" si="81"/>
        <v>-4.7281249110512199E-3</v>
      </c>
      <c r="DR261" cm="1">
        <f t="array" ref="DR261">_xlfn.IFS(DQ261&gt;0.9,0,DQ261&lt;0.01,0)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01085D17104D46B2E8786950AAD70E" ma:contentTypeVersion="5" ma:contentTypeDescription="Create a new document." ma:contentTypeScope="" ma:versionID="417e5d3c4e6a767c983d3e9deceb2ead">
  <xsd:schema xmlns:xsd="http://www.w3.org/2001/XMLSchema" xmlns:xs="http://www.w3.org/2001/XMLSchema" xmlns:p="http://schemas.microsoft.com/office/2006/metadata/properties" xmlns:ns3="2fec4a28-db8f-49a5-b3a7-22ea4a0d8026" targetNamespace="http://schemas.microsoft.com/office/2006/metadata/properties" ma:root="true" ma:fieldsID="ef4be7f1f959f3f81044699a6e2dad15" ns3:_="">
    <xsd:import namespace="2fec4a28-db8f-49a5-b3a7-22ea4a0d80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c4a28-db8f-49a5-b3a7-22ea4a0d8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0C5810-8DA2-48F3-9FB7-A718AD189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c4a28-db8f-49a5-b3a7-22ea4a0d80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759F29-7291-4988-919E-7AB8FB4C91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FDA66F-2907-4D89-B308-184933DFAE90}">
  <ds:schemaRefs>
    <ds:schemaRef ds:uri="2fec4a28-db8f-49a5-b3a7-22ea4a0d8026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hawse</dc:creator>
  <cp:lastModifiedBy>nicholas hawse</cp:lastModifiedBy>
  <dcterms:created xsi:type="dcterms:W3CDTF">2025-03-24T17:31:23Z</dcterms:created>
  <dcterms:modified xsi:type="dcterms:W3CDTF">2025-03-24T21:42:23Z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0x010100A301085D17104D46B2E8786950AAD70E</vt:lpwstr>
  </property>
</Properties>
</file>